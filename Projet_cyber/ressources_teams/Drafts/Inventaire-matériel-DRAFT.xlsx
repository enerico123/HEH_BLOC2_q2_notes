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ehbe.sharepoint.com/sites/ProjetCybersec23-24/Shared Documents/General/Drafts/"/>
    </mc:Choice>
  </mc:AlternateContent>
  <xr:revisionPtr revIDLastSave="4171" documentId="13_ncr:1_{367735CE-7240-42A5-91A6-CADFC1F9E610}" xr6:coauthVersionLast="47" xr6:coauthVersionMax="47" xr10:uidLastSave="{5AFF67EA-626D-41A6-98A2-F797441C548F}"/>
  <bookViews>
    <workbookView xWindow="-108" yWindow="-108" windowWidth="23256" windowHeight="12576" firstSheet="2" activeTab="2" xr2:uid="{00000000-000D-0000-FFFF-FFFF00000000}"/>
  </bookViews>
  <sheets>
    <sheet name="Liste matériel" sheetId="1" r:id="rId1"/>
    <sheet name="Matériel 2_13" sheetId="2" r:id="rId2"/>
    <sheet name="(CLEAN)Materiel24-25" sheetId="4" r:id="rId3"/>
    <sheet name="(RAW)ListeMateriel24-25" sheetId="3" r:id="rId4"/>
  </sheets>
  <definedNames>
    <definedName name="_xlnm._FilterDatabase" localSheetId="0" hidden="1">'Liste matériel'!$A$10:$U$10</definedName>
  </definedNames>
  <calcPr calcId="191028" concurrentCalc="0"/>
  <pivotCaches>
    <pivotCache cacheId="145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4" l="1" a="1"/>
  <c r="Q15" i="4"/>
  <c r="R15" i="4" s="1"/>
  <c r="R12" i="4"/>
  <c r="R11" i="4"/>
  <c r="R16" i="4" l="1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<sst xmlns="http://schemas.openxmlformats.org/spreadsheetml/2006/main" count="3152" uniqueCount="938">
  <si>
    <t>Liste du matériel</t>
  </si>
  <si>
    <t>Auteur :</t>
  </si>
  <si>
    <t>Lejeune Geoffrey</t>
  </si>
  <si>
    <t>Niveau de confidentialité :</t>
  </si>
  <si>
    <t>Sensible</t>
  </si>
  <si>
    <t>Emplacement du matériel :</t>
  </si>
  <si>
    <t>HeH Campus Technique Mons</t>
  </si>
  <si>
    <t>Vesrion :</t>
  </si>
  <si>
    <t>1.0</t>
  </si>
  <si>
    <t>Bâtiment 2 - Local 2/13 B</t>
  </si>
  <si>
    <t>Date :</t>
  </si>
  <si>
    <t>Rack B</t>
  </si>
  <si>
    <t>Contact :</t>
  </si>
  <si>
    <t>geoffrey.lejeune@std.heh.be</t>
  </si>
  <si>
    <t>Etat :</t>
  </si>
  <si>
    <t>En-cours (template validé)</t>
  </si>
  <si>
    <t>Zone</t>
  </si>
  <si>
    <t>Nom</t>
  </si>
  <si>
    <t xml:space="preserve">rack </t>
  </si>
  <si>
    <t>Description</t>
  </si>
  <si>
    <t>Fabricant</t>
  </si>
  <si>
    <t>Série</t>
  </si>
  <si>
    <t>Modèle</t>
  </si>
  <si>
    <t>Numéro de série</t>
  </si>
  <si>
    <t>Date achat</t>
  </si>
  <si>
    <t>Mac Adresse</t>
  </si>
  <si>
    <t>Version OS</t>
  </si>
  <si>
    <t>Nom Image</t>
  </si>
  <si>
    <t>Port disponibles</t>
  </si>
  <si>
    <t>Mémoire RAM</t>
  </si>
  <si>
    <t>Mémoire Flash</t>
  </si>
  <si>
    <t>Interfaces</t>
  </si>
  <si>
    <t>Protocoles Indisponibles</t>
  </si>
  <si>
    <t>Problèmes</t>
  </si>
  <si>
    <t xml:space="preserve">Backup OS </t>
  </si>
  <si>
    <t>Date BK OS</t>
  </si>
  <si>
    <t>Groupe</t>
  </si>
  <si>
    <t>WAN</t>
  </si>
  <si>
    <t>WAN_R1</t>
  </si>
  <si>
    <t>Router</t>
  </si>
  <si>
    <t>Cisco</t>
  </si>
  <si>
    <t>CISCO1941/K9</t>
  </si>
  <si>
    <t>FCZ2151408N</t>
  </si>
  <si>
    <t>Version 15.4(3)M3</t>
  </si>
  <si>
    <t>c1900-universalk9-mz.SPA.154-3.M3.bin</t>
  </si>
  <si>
    <t>2Ge,2Serials,usb</t>
  </si>
  <si>
    <t>524 MB</t>
  </si>
  <si>
    <t>250 Mb Total, 158 Mb utilisé</t>
  </si>
  <si>
    <t>OK</t>
  </si>
  <si>
    <t>Groupe 1</t>
  </si>
  <si>
    <t>WAN_R2</t>
  </si>
  <si>
    <t>A</t>
  </si>
  <si>
    <t>CISCO1841 V06</t>
  </si>
  <si>
    <t>FCZ1414C1JV</t>
  </si>
  <si>
    <t>Version 15.1(3)T4</t>
  </si>
  <si>
    <t>c1841-IPV6-151-3.T4.bin</t>
  </si>
  <si>
    <t>2Fe,4Serials</t>
  </si>
  <si>
    <t>252 MB</t>
  </si>
  <si>
    <t>49,8 MB Total, 14,1 MB utilisé</t>
  </si>
  <si>
    <t>WAN_R3</t>
  </si>
  <si>
    <t>FCZ212840HW</t>
  </si>
  <si>
    <t>250 Mb Total, 158 Mb utilisé</t>
  </si>
  <si>
    <t>WAN_R4</t>
  </si>
  <si>
    <t>FCZ214840P2</t>
  </si>
  <si>
    <t>WAN_R5</t>
  </si>
  <si>
    <t>FCZ1414C1J6</t>
  </si>
  <si>
    <t>49,8 MB Total, 14,1 MB utilisé</t>
  </si>
  <si>
    <t>White</t>
  </si>
  <si>
    <t>WHITE_R</t>
  </si>
  <si>
    <t>FCZ1414C1HU</t>
  </si>
  <si>
    <t>15.1 (3) T4</t>
  </si>
  <si>
    <t>2Fe,2Serials</t>
  </si>
  <si>
    <t>White_Fw1</t>
  </si>
  <si>
    <t>FireWall</t>
  </si>
  <si>
    <t>Fortigate</t>
  </si>
  <si>
    <t>30E</t>
  </si>
  <si>
    <t>FWF-30E</t>
  </si>
  <si>
    <t>FWF30E3U17008264</t>
  </si>
  <si>
    <t>70:4c:a5:78:ca:b6</t>
  </si>
  <si>
    <t>v5.6.6 build 1630</t>
  </si>
  <si>
    <t>FWF30E-5.06-FW-build1630-180913</t>
  </si>
  <si>
    <t>1usb,1console,5Ge(switch,wan)</t>
  </si>
  <si>
    <t>256 MB</t>
  </si>
  <si>
    <t>18,4 MB total, 10 MB utilisé</t>
  </si>
  <si>
    <t>WHITE_G1_Sw1_L3</t>
  </si>
  <si>
    <t>Switch Layer 3</t>
  </si>
  <si>
    <t>3560 POE 48</t>
  </si>
  <si>
    <t>WS-C3560-48TS-S V02*</t>
  </si>
  <si>
    <t>CAT11142GW0</t>
  </si>
  <si>
    <t>00:1B:5F:BA:88:00</t>
  </si>
  <si>
    <t>12.2(25)SEE2</t>
  </si>
  <si>
    <t>c3560-ipbase-mz.122-35.SE5/c3560-ipbase-mz.122-35.SE5.bin</t>
  </si>
  <si>
    <t>48Fe,4Ge</t>
  </si>
  <si>
    <t>128 MB</t>
  </si>
  <si>
    <t>32 MB total, 23 MB utilisé</t>
  </si>
  <si>
    <t>WHITE_G1_Sw2_L3</t>
  </si>
  <si>
    <t>D</t>
  </si>
  <si>
    <t>WS-C3560-48TS-S V02</t>
  </si>
  <si>
    <t>FD01207Y24N</t>
  </si>
  <si>
    <t>00:1F:9D:B8:8D:80</t>
  </si>
  <si>
    <t>12.2(35)SE5</t>
  </si>
  <si>
    <t>WHITE_G1_Sw1</t>
  </si>
  <si>
    <t>Switch Layer 2</t>
  </si>
  <si>
    <t>2960Plus</t>
  </si>
  <si>
    <t>WS-C2960+24TC-L V02</t>
  </si>
  <si>
    <t>FOC2149Y56S</t>
  </si>
  <si>
    <t>50:1C:B0:A3:21:00</t>
  </si>
  <si>
    <t>15.2(2)E7</t>
  </si>
  <si>
    <t>c2960-lanbasek9-mz.152-2.E7/c2960-lanbasek9-mz.152-2.E7.bin</t>
  </si>
  <si>
    <t>24Fe,4Ge</t>
  </si>
  <si>
    <t>64 MB total, 45 Mb utilisé</t>
  </si>
  <si>
    <t>WHITE_G1_Sw2</t>
  </si>
  <si>
    <t>FCW2148A013</t>
  </si>
  <si>
    <t>B4:A8:B9:CF:A5:80</t>
  </si>
  <si>
    <t>White_G1_SRV1</t>
  </si>
  <si>
    <t>Serveur</t>
  </si>
  <si>
    <t>White_G1_SRV2</t>
  </si>
  <si>
    <t xml:space="preserve">PC </t>
  </si>
  <si>
    <t>Gray</t>
  </si>
  <si>
    <t>GRAY_R</t>
  </si>
  <si>
    <t>2621XM</t>
  </si>
  <si>
    <t>SN:JHYO841K350</t>
  </si>
  <si>
    <t>00:12:01:0E:80:E0</t>
  </si>
  <si>
    <t>12.4(17)</t>
  </si>
  <si>
    <t>c2600-adventerprisek9-mz.124-17.bin</t>
  </si>
  <si>
    <t>127,3MB</t>
  </si>
  <si>
    <t>33MB restante: 3,1MB</t>
  </si>
  <si>
    <t>Groupe 2</t>
  </si>
  <si>
    <t>60D</t>
  </si>
  <si>
    <t>FG-60D</t>
  </si>
  <si>
    <t>FGT60D4Q16066359</t>
  </si>
  <si>
    <t>90:6C:AC:9C:6B:52</t>
  </si>
  <si>
    <t>1-7,dmz,wan1-2</t>
  </si>
  <si>
    <t>1839 MB</t>
  </si>
  <si>
    <t>3879 MB</t>
  </si>
  <si>
    <t>GRAY_G2_Sw1_L3</t>
  </si>
  <si>
    <t>FDO1213Y0MN</t>
  </si>
  <si>
    <t>00:21:1B:A6:24:80</t>
  </si>
  <si>
    <t>122.8 MB</t>
  </si>
  <si>
    <t>32.5 MB restante:23.4 MB</t>
  </si>
  <si>
    <t>GRAY_G2_Sw2_L3</t>
  </si>
  <si>
    <t>WS-C3560-48PS-S</t>
  </si>
  <si>
    <t>CAT0837Z1L7</t>
  </si>
  <si>
    <t>00:12:01:97:F7:80</t>
  </si>
  <si>
    <t>12.2(37)SE</t>
  </si>
  <si>
    <t>c3560-advipservicesk9-mz.122-37.SE.bin</t>
  </si>
  <si>
    <t>122.88MB</t>
  </si>
  <si>
    <t>15,99MB restante:0,8 MB</t>
  </si>
  <si>
    <t>GRAY_G2_Sw1</t>
  </si>
  <si>
    <t>2960PLUS</t>
  </si>
  <si>
    <t>FCW2148A0FW</t>
  </si>
  <si>
    <t>24:7E:12:CD:F7:80</t>
  </si>
  <si>
    <t>c2960-lanbasek9-mz.152-2.E7/c2960-lanbasek9-mz.152.2E7.bin</t>
  </si>
  <si>
    <t>131MB</t>
  </si>
  <si>
    <t>65,54MB restante:46,46 MB</t>
  </si>
  <si>
    <t>GRAY_G2_Sw2</t>
  </si>
  <si>
    <t>WS-C2950G-48-EI</t>
  </si>
  <si>
    <t>FOC0747X09W</t>
  </si>
  <si>
    <t>00:0E:83:74:98:00</t>
  </si>
  <si>
    <t>12.1(14)</t>
  </si>
  <si>
    <t>c2950-i6q412-mz.121-14.EA1a.bin</t>
  </si>
  <si>
    <t>48Fe,2Ge</t>
  </si>
  <si>
    <t>20.7 MB</t>
  </si>
  <si>
    <t>7,7 MB restante 2,47MB</t>
  </si>
  <si>
    <t>GRAY_G2_SRV1</t>
  </si>
  <si>
    <t>GRAY_G2_SRV2</t>
  </si>
  <si>
    <t>Red</t>
  </si>
  <si>
    <t>RED_R</t>
  </si>
  <si>
    <t>JAC0526A28E</t>
  </si>
  <si>
    <t>00:06:28:F9:A0:C1</t>
  </si>
  <si>
    <t>12.2(11)T9</t>
  </si>
  <si>
    <t>flash:c2600-is-mz.122-11.T9.bin</t>
  </si>
  <si>
    <t>4096KB</t>
  </si>
  <si>
    <t>16384KB</t>
  </si>
  <si>
    <t>Ethernet</t>
  </si>
  <si>
    <t>Groupe 3</t>
  </si>
  <si>
    <t>RED_Fw</t>
  </si>
  <si>
    <t>FGT60D4Q16066986</t>
  </si>
  <si>
    <t>90:6C:AC:9C:83:D0</t>
  </si>
  <si>
    <t>5.4.1</t>
  </si>
  <si>
    <t>RED_G3_Sw01</t>
  </si>
  <si>
    <t>FOC0721XO8A</t>
  </si>
  <si>
    <t>00:02:28:A2:D5:00</t>
  </si>
  <si>
    <t>12.1 (22) EA4</t>
  </si>
  <si>
    <t>c2950-i6q412-mz.121.22.EA4.bin</t>
  </si>
  <si>
    <t>21039K bytes</t>
  </si>
  <si>
    <t>32K bytes</t>
  </si>
  <si>
    <t>SSH,CDP,LLDP</t>
  </si>
  <si>
    <t>RED_G4_Sw01</t>
  </si>
  <si>
    <t>FCZ0921XOPC</t>
  </si>
  <si>
    <t>00:14:1c:6E:E8:40</t>
  </si>
  <si>
    <t>RED_G3_SRV</t>
  </si>
  <si>
    <t>Dell</t>
  </si>
  <si>
    <t>Blue</t>
  </si>
  <si>
    <t>BLUE_R</t>
  </si>
  <si>
    <t>C2600</t>
  </si>
  <si>
    <t>C2600-JK8S-M</t>
  </si>
  <si>
    <t>JPE074610C9</t>
  </si>
  <si>
    <t>XXXXXX</t>
  </si>
  <si>
    <t> 00:0d:28:e9:2a:80</t>
  </si>
  <si>
    <t>12.2 (à vérifier)</t>
  </si>
  <si>
    <t>c2600-jk8s-mz.122-13.T9.bin</t>
  </si>
  <si>
    <t>Ethernet 1/0</t>
  </si>
  <si>
    <t> 512 MB</t>
  </si>
  <si>
    <t>3276 MB</t>
  </si>
  <si>
    <t>2 Fa/ 1 Ethernet</t>
  </si>
  <si>
    <t>/</t>
  </si>
  <si>
    <t>Groupe 5 et 6</t>
  </si>
  <si>
    <t>Blue_Fw</t>
  </si>
  <si>
    <t>Fortinet</t>
  </si>
  <si>
    <t>FGT60D4Q16063359</t>
  </si>
  <si>
    <t>v5.4.1 (à vérifier)</t>
  </si>
  <si>
    <t>TechBat1SW</t>
  </si>
  <si>
    <t xml:space="preserve"> WS-C2950G-48-EI</t>
  </si>
  <si>
    <t>FOC0741X2GR</t>
  </si>
  <si>
    <t>/ XXXXX</t>
  </si>
  <si>
    <t xml:space="preserve"> 00:0D:ED:F7:60:00</t>
  </si>
  <si>
    <t>12.1(13)EA1</t>
  </si>
  <si>
    <t>c2950-i6q4l2-mz.121-22.EA4.bin</t>
  </si>
  <si>
    <t>48 FastEthernet</t>
  </si>
  <si>
    <t>Configuration de base de Switch</t>
  </si>
  <si>
    <t>zone-red-groupe-3-script-SWITCH01.txt</t>
  </si>
  <si>
    <t>Oui</t>
  </si>
  <si>
    <t>TechBat2SW</t>
  </si>
  <si>
    <t>FOC0622Y0CB</t>
  </si>
  <si>
    <t>00:09:E8:00:E9:00</t>
  </si>
  <si>
    <t>12.1(6)EA2a</t>
  </si>
  <si>
    <t>flash:c2950-i6q4l2-mz.121-22.EA4.bin</t>
  </si>
  <si>
    <t>ethernet</t>
  </si>
  <si>
    <t>BLUE_G5_SRV</t>
  </si>
  <si>
    <t>AD,DHCP,DNS (Winserv16)</t>
  </si>
  <si>
    <t>SHS-Computer</t>
  </si>
  <si>
    <t>N850EL</t>
  </si>
  <si>
    <t>NKN850EL0008G00748</t>
  </si>
  <si>
    <t>00:15:5D:7A:49:02</t>
  </si>
  <si>
    <t>10.0.14393 Build 14393</t>
  </si>
  <si>
    <t>en_windows_server_2016_updated_fev_2018_x64_dvd_11636692.iso</t>
  </si>
  <si>
    <t>2USB 3.0 et 1 USB 2.0 1 HDMI 1 Ethernet 1 VGA 1 Micro USB</t>
  </si>
  <si>
    <t>2Go</t>
  </si>
  <si>
    <t>BLUE_G6_SRV</t>
  </si>
  <si>
    <t>Green</t>
  </si>
  <si>
    <t>GREEN_R</t>
  </si>
  <si>
    <t>C2600-IS-M</t>
  </si>
  <si>
    <t>JAD0636068Q</t>
  </si>
  <si>
    <t>00:0A:F4:61:B4:A0</t>
  </si>
  <si>
    <t>12.2</t>
  </si>
  <si>
    <t>2 Ethernet</t>
  </si>
  <si>
    <t>SSH</t>
  </si>
  <si>
    <t>Groupe 7 et 8</t>
  </si>
  <si>
    <t>Green_Fw</t>
  </si>
  <si>
    <t>FGT60D4Q16067135</t>
  </si>
  <si>
    <t>90:6C:AC:9C:54:D1</t>
  </si>
  <si>
    <t>v5.4.1</t>
  </si>
  <si>
    <t>GREEN_G7_Sw01</t>
  </si>
  <si>
    <t>C2950</t>
  </si>
  <si>
    <t>C2950-I6Q4L2-M</t>
  </si>
  <si>
    <t>FCZ0940X09R</t>
  </si>
  <si>
    <t>00:15:62:9E:4C:C0</t>
  </si>
  <si>
    <t>12.1</t>
  </si>
  <si>
    <t>flash:/c2950-i6q4l2-mz.121-22.EA4a.bin</t>
  </si>
  <si>
    <t>48 FastEthernet/2GigaEthernet</t>
  </si>
  <si>
    <t>Groupe 7</t>
  </si>
  <si>
    <t>GREEN_G8_Sw01</t>
  </si>
  <si>
    <t>Green_G7_SRV</t>
  </si>
  <si>
    <t>SHS Computer</t>
  </si>
  <si>
    <t>C228050843</t>
  </si>
  <si>
    <t>91:15:F1:32:A4:E1</t>
  </si>
  <si>
    <t>Hyper-v Win10</t>
  </si>
  <si>
    <t>2 GigaEthernet</t>
  </si>
  <si>
    <t>16 GB</t>
  </si>
  <si>
    <t>GREEN_G8_SRV</t>
  </si>
  <si>
    <t>Yellow</t>
  </si>
  <si>
    <t>YELLOW_R</t>
  </si>
  <si>
    <t>JAD0636068N </t>
  </si>
  <si>
    <t>00:0a:f4:61:b4:c0</t>
  </si>
  <si>
    <t>Version 12.2(11)T9</t>
  </si>
  <si>
    <t>c2600-is-mz.122-11.T9.bin</t>
  </si>
  <si>
    <t>2 Ethernet / 2 Serial</t>
  </si>
  <si>
    <t>7,26 Mb</t>
  </si>
  <si>
    <t>Totale : 16,25 Mb  Restante : 2,13 Mb</t>
  </si>
  <si>
    <t>Ethernet / Serial</t>
  </si>
  <si>
    <t>Groupe 9 et 10</t>
  </si>
  <si>
    <t>Yellow_Fw</t>
  </si>
  <si>
    <t>FGT60D4Q16066463</t>
  </si>
  <si>
    <t>90:6C:AC:9C:6F:62</t>
  </si>
  <si>
    <t>v5.4.1 Build5447(GA)</t>
  </si>
  <si>
    <t>YELLOW_G9_Sw01</t>
  </si>
  <si>
    <t>FOCO719W226</t>
  </si>
  <si>
    <t>00:0D:28:4C:C7:80</t>
  </si>
  <si>
    <t>Version 12.1(22)EA4</t>
  </si>
  <si>
    <t>7,91 Mb</t>
  </si>
  <si>
    <t>Totale :  7,74 Mb    Restante:  4,64 Mb</t>
  </si>
  <si>
    <t>SSH, LLDP</t>
  </si>
  <si>
    <t>Pas d'image =&gt; Ajout image 06/11/2018</t>
  </si>
  <si>
    <t>YELLOW_G10_Sw01</t>
  </si>
  <si>
    <t>FOCO832X468</t>
  </si>
  <si>
    <t>00:11:BB:9C:2C:80</t>
  </si>
  <si>
    <t>YELLOW_G9_SRV</t>
  </si>
  <si>
    <t>NKN850EL0008G00749</t>
  </si>
  <si>
    <t>YELLOW_G10_SRV</t>
  </si>
  <si>
    <t>B</t>
  </si>
  <si>
    <t xml:space="preserve">Routeur </t>
  </si>
  <si>
    <t>FDO02613M21Z</t>
  </si>
  <si>
    <t>1 MGMT, 3 int (GE0/0/0 et GE0/0/1), 1 USB, 1 AUX, 1 console, 1 microUSB</t>
  </si>
  <si>
    <t>FDO2613M222</t>
  </si>
  <si>
    <t>1 MGMT, 3 int (GE0/0/0 et GE0/0/1), 1 USB, 2  AUX, 1 console, 1 microUSB</t>
  </si>
  <si>
    <t>?</t>
  </si>
  <si>
    <t>1 MGMT, 3 int (GE0/0/0 et GE0/0/1), 1 USB, 2 AUX, 1 console, 1 microUSB</t>
  </si>
  <si>
    <t>1 USB, 1 Console, 3 int (GE0/0/0 et GE0/0/1), 2 series</t>
  </si>
  <si>
    <t>Catalyst 3750G-48PS</t>
  </si>
  <si>
    <t>FDO113OY08Q</t>
  </si>
  <si>
    <t>48 ports (10G), 4 fibres, 1 console, 2 stacks, 4 QSFP</t>
  </si>
  <si>
    <t>AG4_PSW1_DV</t>
  </si>
  <si>
    <t>2960 plus</t>
  </si>
  <si>
    <t>WS-C2960+24TC-L</t>
  </si>
  <si>
    <t>FOC2308y0QQ</t>
  </si>
  <si>
    <t>2C:01:B5:B5:39:80</t>
  </si>
  <si>
    <t xml:space="preserve">15.2(2)E8 </t>
  </si>
  <si>
    <t>C2960-LANBASEK9-M</t>
  </si>
  <si>
    <t>24 ports (10 Go),  1 console, 4 fibres, 1 USB, 1 console</t>
  </si>
  <si>
    <t>Groupe 4 et 7</t>
  </si>
  <si>
    <t>FOC1132W43A</t>
  </si>
  <si>
    <t>24 ports (10 Go),  1 console, 3 fibres, 1 USB, 1 console</t>
  </si>
  <si>
    <t xml:space="preserve">                         A</t>
  </si>
  <si>
    <t>FCW2352A1QC</t>
  </si>
  <si>
    <t>FOC1403v33J</t>
  </si>
  <si>
    <t>24 ports(10G), 2 SPF, 1 console</t>
  </si>
  <si>
    <t>FOC1030Z27F</t>
  </si>
  <si>
    <t>C</t>
  </si>
  <si>
    <t xml:space="preserve">Router </t>
  </si>
  <si>
    <t>FCZO92222B5</t>
  </si>
  <si>
    <t>1 Console,4 ethernet 10/100 baseT, 1 ethernet 10 baseT</t>
  </si>
  <si>
    <t>FCZ102942KN</t>
  </si>
  <si>
    <t>FCZ1410C258</t>
  </si>
  <si>
    <t xml:space="preserve">1 Console, 4 Fe/LAN, 1 Fe/WAN  </t>
  </si>
  <si>
    <t>FGL2402LEDJ</t>
  </si>
  <si>
    <t>1 Console, GE0/0/0, GE0/0/1, 1 USB, S1, S0</t>
  </si>
  <si>
    <t xml:space="preserve">Fortigate </t>
  </si>
  <si>
    <t>FGT60D4Q16066737</t>
  </si>
  <si>
    <t xml:space="preserve">1 USB Mgmt, 1 USB, 2 WAN, 1 DMZ, 7 LAN RJ-45, 1 Console </t>
  </si>
  <si>
    <t>Fortiwifi</t>
  </si>
  <si>
    <t>1 Console, 4 RJ45, 1 WAN, 1 USB</t>
  </si>
  <si>
    <t>2960+</t>
  </si>
  <si>
    <t>FOC2308Y0V5</t>
  </si>
  <si>
    <t>24 Fe, 4 Ge, 1 Console</t>
  </si>
  <si>
    <t>C1000-24P-4G-L</t>
  </si>
  <si>
    <t>FOC2611Y3YD</t>
  </si>
  <si>
    <t>1 Console, 1 USB, 24 Fe, 4 FSP</t>
  </si>
  <si>
    <t xml:space="preserve">1 USB MGMT, 1 USB, 1 WAN2, 1 WAN1, 1 DMZ, 7 RJ-45, 1 Console, </t>
  </si>
  <si>
    <t>AG4_PFW1_DV</t>
  </si>
  <si>
    <t>FOC2611Y3XY</t>
  </si>
  <si>
    <t>Agence 9</t>
  </si>
  <si>
    <t>FGL2402LEAT</t>
  </si>
  <si>
    <t>1 Console, 2 Ge,1 USB, 2 NIM</t>
  </si>
  <si>
    <t>FOC2308Y0HR</t>
  </si>
  <si>
    <t>60E</t>
  </si>
  <si>
    <t>Fortigate60e</t>
  </si>
  <si>
    <t>1 reset, 1 usb, 1 console, 2 WAN, 1 dmz, 7 ports(3gbs)</t>
  </si>
  <si>
    <t>FDO2613M21Z</t>
  </si>
  <si>
    <t>1 MGMT, 1 Console, 2 AUX, 2 Ge, 2 NIM 1</t>
  </si>
  <si>
    <t>JHY0841K350</t>
  </si>
  <si>
    <t>Fa0/1, Fa0/0, Console, AUX, 2 serial</t>
  </si>
  <si>
    <t>Switch</t>
  </si>
  <si>
    <t>WS-C2960-24TT-L</t>
  </si>
  <si>
    <t>FCQ1624X5ST</t>
  </si>
  <si>
    <t>1 Console, 24 fe, 1 Ge</t>
  </si>
  <si>
    <t>Routeur</t>
  </si>
  <si>
    <t xml:space="preserve">Ethernet 0/1, Ethernet 0/0, Console, AUX, </t>
  </si>
  <si>
    <t>C1000-24-T-4G-L</t>
  </si>
  <si>
    <t>FOC26113L0</t>
  </si>
  <si>
    <t>FGT60D4Q16066469</t>
  </si>
  <si>
    <t>FCZ14141J6</t>
  </si>
  <si>
    <t xml:space="preserve">4 Serial, 1 USB, 2 Fe, 1 AUX, 1 Console </t>
  </si>
  <si>
    <t>1 USB MGMT, 1 USB, 1 WAN2, 1 WAN1, 1 DMZ, 7 RJ-45, 1 Console</t>
  </si>
  <si>
    <t>Cable Console</t>
  </si>
  <si>
    <t xml:space="preserve">/ </t>
  </si>
  <si>
    <t>Cable réseaux</t>
  </si>
  <si>
    <t>1 console, 1 aux, 1 ethernet, 1 serial, 1 ISDN BRI</t>
  </si>
  <si>
    <t>JMX0637LTWL</t>
  </si>
  <si>
    <t>1 console, 1 aux, 2 ethernet, 2 serial</t>
  </si>
  <si>
    <t>3560 POE-24</t>
  </si>
  <si>
    <t>CAT0842N21R</t>
  </si>
  <si>
    <t>24 ethernet, 2 SPF</t>
  </si>
  <si>
    <t>WS-C2960+245TC-L</t>
  </si>
  <si>
    <t>FOC2308Y0YZ</t>
  </si>
  <si>
    <t>2600 XM</t>
  </si>
  <si>
    <t>2621 XM</t>
  </si>
  <si>
    <t>2 Fe, 1 console, 1 AUX</t>
  </si>
  <si>
    <t>PIX-500</t>
  </si>
  <si>
    <t>PIX-506E</t>
  </si>
  <si>
    <t>2 Fe, 1 console, 1 USb</t>
  </si>
  <si>
    <t>JAC0537a3dy</t>
  </si>
  <si>
    <t>2 eth, 1 AUX, 1 console,2 serial</t>
  </si>
  <si>
    <t>foc1403v31g</t>
  </si>
  <si>
    <t>12,2(44)SE6</t>
  </si>
  <si>
    <t>24 ports, 1 console, 2 AMP</t>
  </si>
  <si>
    <t>Access Point</t>
  </si>
  <si>
    <t xml:space="preserve">Aironet </t>
  </si>
  <si>
    <t>AIR-AP1242AG-E-K9</t>
  </si>
  <si>
    <t>FCZ1410806W</t>
  </si>
  <si>
    <t>68EFB2106B52</t>
  </si>
  <si>
    <t>4 antennes, 1 console, 1 eth</t>
  </si>
  <si>
    <t>Aironet 1200</t>
  </si>
  <si>
    <t>FHK0829J1GB</t>
  </si>
  <si>
    <t>0001121EE6245</t>
  </si>
  <si>
    <t>1 ethernet, 1 console, 2 antennes</t>
  </si>
  <si>
    <t>2 eth, 1 CTRLR0</t>
  </si>
  <si>
    <t>Switch Layer 2/3</t>
  </si>
  <si>
    <t>PSZ163604R4</t>
  </si>
  <si>
    <t>1 console, 4 eth(2 POE)</t>
  </si>
  <si>
    <t>AIR-AP1231G-E-K9</t>
  </si>
  <si>
    <t>FHK0829J1HM</t>
  </si>
  <si>
    <t>Switch layer 2</t>
  </si>
  <si>
    <t>CentreCom</t>
  </si>
  <si>
    <t>3012SL</t>
  </si>
  <si>
    <t>AT-3012SL</t>
  </si>
  <si>
    <t>S08E9098D</t>
  </si>
  <si>
    <t>12 eth, 1 BNC, 1 AUI</t>
  </si>
  <si>
    <t>SHN031100G5</t>
  </si>
  <si>
    <t>2 eth, 1 console, 1 AUX</t>
  </si>
  <si>
    <t>C3750G-24TS-S</t>
  </si>
  <si>
    <t>FDO1306Z0QH</t>
  </si>
  <si>
    <t>24 eth, 4 SPF, 2 stacks, 1 console</t>
  </si>
  <si>
    <t>CAT1136RGHL</t>
  </si>
  <si>
    <t>C3560-48TS-E</t>
  </si>
  <si>
    <t>CAT0944Z35L</t>
  </si>
  <si>
    <t>48 eth, 4 SPF, 1 console</t>
  </si>
  <si>
    <t>SHN031100LV</t>
  </si>
  <si>
    <t>2 ETH, 1 console, 1 AUX</t>
  </si>
  <si>
    <t>2600XM</t>
  </si>
  <si>
    <t>2611XM</t>
  </si>
  <si>
    <t>JHY0837K14L</t>
  </si>
  <si>
    <t>2 FE, 1 console, 1 AUX, 1eth, 1 serial</t>
  </si>
  <si>
    <t>Switch layer 3</t>
  </si>
  <si>
    <t>C3560-48TS-S</t>
  </si>
  <si>
    <t>FDO1342X1M4</t>
  </si>
  <si>
    <t>12,2(35)SE5</t>
  </si>
  <si>
    <t>2620XM</t>
  </si>
  <si>
    <t>3500XL</t>
  </si>
  <si>
    <t>1 console, 48 eth, 2 GBIC slots</t>
  </si>
  <si>
    <t>c3560-48TS-S</t>
  </si>
  <si>
    <t>CAT0937Z420</t>
  </si>
  <si>
    <t>12,2(25)SEB2</t>
  </si>
  <si>
    <t>FDO1306Z0RF</t>
  </si>
  <si>
    <t>C3560-24PS-S</t>
  </si>
  <si>
    <t>CAT0919N1DJ</t>
  </si>
  <si>
    <t>12,2(20)SE4</t>
  </si>
  <si>
    <t xml:space="preserve">1 Console,  24 eth, 2 SPF </t>
  </si>
  <si>
    <t>CAT0841X0SQ</t>
  </si>
  <si>
    <t>12,1(19)EA1d</t>
  </si>
  <si>
    <t>2610XM</t>
  </si>
  <si>
    <t>JHY0817K18S</t>
  </si>
  <si>
    <t>1 FE, 1 console, 1 AUX,, 1 serial</t>
  </si>
  <si>
    <t>C2960-24TC-L</t>
  </si>
  <si>
    <t>FOC1213Z3NX</t>
  </si>
  <si>
    <t>24 eth, 1 console, 2 SPF, 2 dual</t>
  </si>
  <si>
    <t>C2960+24TCL</t>
  </si>
  <si>
    <t>FCW2352A1SZ</t>
  </si>
  <si>
    <t>15,2(2)E8</t>
  </si>
  <si>
    <t>24 eth, 2 SPF, 2 dual, 1 console</t>
  </si>
  <si>
    <t>Switch Layers 3</t>
  </si>
  <si>
    <t>FDO1202Z4AA</t>
  </si>
  <si>
    <t xml:space="preserve"> </t>
  </si>
  <si>
    <t>routeur isr</t>
  </si>
  <si>
    <t>cisco</t>
  </si>
  <si>
    <t>4000 isr</t>
  </si>
  <si>
    <t>ISR44251</t>
  </si>
  <si>
    <t>FGL2652LD2R</t>
  </si>
  <si>
    <t>1 console, 2 eth, 1usb, 1sfp</t>
  </si>
  <si>
    <t>1100 isr</t>
  </si>
  <si>
    <t xml:space="preserve">1 console, 2 eth, 8 eth switching, </t>
  </si>
  <si>
    <t>JMX0637LTW6</t>
  </si>
  <si>
    <t>Julien Magnier</t>
  </si>
  <si>
    <t>Bâtiment 2 - Local 2/13 - Rack A</t>
  </si>
  <si>
    <t>14-05-24</t>
  </si>
  <si>
    <t>Bâtiment 2 - Local 2/16 - Rack B</t>
  </si>
  <si>
    <t>julien.magnier@std.heh.be</t>
  </si>
  <si>
    <r>
      <rPr>
        <b/>
        <i/>
        <sz val="11"/>
        <color rgb="FF000000"/>
        <rFont val="Calibri"/>
        <scheme val="minor"/>
      </rPr>
      <t>Remarques :</t>
    </r>
    <r>
      <rPr>
        <sz val="11"/>
        <color rgb="FF000000"/>
        <rFont val="Calibri"/>
        <scheme val="minor"/>
      </rPr>
      <t xml:space="preserve"> Les routeurs WAN n'ont pas pu être correctement identifié + la colonne "Version OS" devrait être mise à jour</t>
    </r>
  </si>
  <si>
    <t>En-cours de validation</t>
  </si>
  <si>
    <t>Matériel physique présent dans le 2/13</t>
  </si>
  <si>
    <t>Site 1</t>
  </si>
  <si>
    <t>ST_1_S2_1_PD_P</t>
  </si>
  <si>
    <t xml:space="preserve">Cisco </t>
  </si>
  <si>
    <t>2960 Plus</t>
  </si>
  <si>
    <t>FCW2352A1T9</t>
  </si>
  <si>
    <t>A4:B4:39:D6:BE:00</t>
  </si>
  <si>
    <t>15.2(2)E8</t>
  </si>
  <si>
    <t>24 FastEthernet, 2 GigaEthernet, 2 SFP, 1 Console</t>
  </si>
  <si>
    <t>64 MB</t>
  </si>
  <si>
    <t>Equipe 7</t>
  </si>
  <si>
    <t>ST_1_S2_2_PD_P</t>
  </si>
  <si>
    <t>ST_1_S3_1_PD_P</t>
  </si>
  <si>
    <t>CAT1114ZGW0</t>
  </si>
  <si>
    <t>00:1B:8F:BA:88:00</t>
  </si>
  <si>
    <t>48 GigaEthernet, 4 SFP, 1 Console</t>
  </si>
  <si>
    <t>32 MB</t>
  </si>
  <si>
    <t>ST_1_S3_2_PD_P</t>
  </si>
  <si>
    <t>WS-C3560-48TS-E V03</t>
  </si>
  <si>
    <t>00:15:FA:72:44:80</t>
  </si>
  <si>
    <t>12.2(25)SEB4</t>
  </si>
  <si>
    <t>ST_1_RT_1_PD_P</t>
  </si>
  <si>
    <t>ISR4321/K9</t>
  </si>
  <si>
    <t>1 Management Port, 2 GigaEthernet, 1 SFP, 1 USB Type A, 2 AUX, 1 Console, 1 MicroUSB</t>
  </si>
  <si>
    <t>4GB Default / 8GB Max</t>
  </si>
  <si>
    <t>ST_1_FW_1_PD_P</t>
  </si>
  <si>
    <t>60F</t>
  </si>
  <si>
    <t>FG-60F</t>
  </si>
  <si>
    <t>FGT60FTK2209JGYQ</t>
  </si>
  <si>
    <t>94:F3:92:C0:79:8E</t>
  </si>
  <si>
    <t xml:space="preserve">1 USB, 1 Console, 2 GigaEthernet WAN, 1 GigaEthernet DMZ, 2 GigaEthernet FortiLink, 5 GigaEthernet Internal  </t>
  </si>
  <si>
    <t>1919 MB</t>
  </si>
  <si>
    <t>3662 MB</t>
  </si>
  <si>
    <t>Agence 1</t>
  </si>
  <si>
    <t>AG_1_S2_1_PD_P</t>
  </si>
  <si>
    <t>FDO1207Y24M</t>
  </si>
  <si>
    <t>Equipe 9</t>
  </si>
  <si>
    <t>AG_1_RT_1_PD_P</t>
  </si>
  <si>
    <t>C1131-8PVVE</t>
  </si>
  <si>
    <t>FGL2709L1X6</t>
  </si>
  <si>
    <t>C8:84:A1:F5:95:00</t>
  </si>
  <si>
    <t>1 console, 2 WAN (2 combo RJ45/sfp), 8 eth switching, 1usb, 4pin power-connector</t>
  </si>
  <si>
    <t>AG_1_FW_1_PD_P</t>
  </si>
  <si>
    <t xml:space="preserve">Fortinet </t>
  </si>
  <si>
    <t>FGT60FTK2209JK89</t>
  </si>
  <si>
    <t>94:F3:92:C0:E0:90</t>
  </si>
  <si>
    <t>Agence 2</t>
  </si>
  <si>
    <t>AG_2_S2_1_PD_P</t>
  </si>
  <si>
    <t>00:1E:F7:BD:22:80</t>
  </si>
  <si>
    <t>Equipe 6</t>
  </si>
  <si>
    <t>AG_2_RT_1_PD_P</t>
  </si>
  <si>
    <t>ISR4251</t>
  </si>
  <si>
    <t>1 console, 2 WAN (un combo RJ45/sfp et un ethernet), 1usb, 4pin power-connector</t>
  </si>
  <si>
    <t>4GB</t>
  </si>
  <si>
    <t>8GB Default / 8GB Max</t>
  </si>
  <si>
    <t>AG_2_FW_1_PD_P</t>
  </si>
  <si>
    <r>
      <rPr>
        <sz val="11"/>
        <color rgb="FF000000"/>
        <rFont val="Calibri"/>
      </rPr>
      <t>Fortinet</t>
    </r>
    <r>
      <rPr>
        <b/>
        <sz val="11"/>
        <color rgb="FF000000"/>
        <rFont val="Calibri"/>
      </rPr>
      <t xml:space="preserve"> </t>
    </r>
  </si>
  <si>
    <t>FGT60FTK2209JK67</t>
  </si>
  <si>
    <t>94:F3:92:C0:DD:D4</t>
  </si>
  <si>
    <t>Agence 3</t>
  </si>
  <si>
    <t>AG_3_S2_1_PD_P</t>
  </si>
  <si>
    <t>WS-C2960-24TC-L V03</t>
  </si>
  <si>
    <t>00:21:1B:B9:D8:80</t>
  </si>
  <si>
    <t>Equipe 4</t>
  </si>
  <si>
    <t xml:space="preserve">Agence 3 </t>
  </si>
  <si>
    <t>AG_3_RT_1_PD_P</t>
  </si>
  <si>
    <t>FGL2652LD2C</t>
  </si>
  <si>
    <t>AG_3_FW_1_PD_P</t>
  </si>
  <si>
    <t>FGT60FTK2209JKEQ</t>
  </si>
  <si>
    <t>94:F3:92:C0:E9:1E</t>
  </si>
  <si>
    <t>7.4.2</t>
  </si>
  <si>
    <t>Agence 4</t>
  </si>
  <si>
    <t>AG_4_S2_1_PD_P</t>
  </si>
  <si>
    <t>00:19:06:5F:93:80</t>
  </si>
  <si>
    <t>AG_4_RT_1_PD_P</t>
  </si>
  <si>
    <t>C1111-4P</t>
  </si>
  <si>
    <t>FCZ2618R2YA</t>
  </si>
  <si>
    <t>EC:01:D5:0C:29:80</t>
  </si>
  <si>
    <t>GE LAN 4, GE WAN 2, SPF slot</t>
  </si>
  <si>
    <t xml:space="preserve">4GB Default </t>
  </si>
  <si>
    <t>AG_4_FW_1_PD_P</t>
  </si>
  <si>
    <t>1 USB, 1 Console, 2 GigaEthernet WAN, 1 GigaEthernet DMZ, 2 GigaEthernet FortiLink, 5 GigaEthernet Internal</t>
  </si>
  <si>
    <t>WAN 1</t>
  </si>
  <si>
    <t>WN_1_RT_1_PD_P</t>
  </si>
  <si>
    <t xml:space="preserve">2 GigaEthernet, 1 SFP, 1 Console, </t>
  </si>
  <si>
    <t>8 GB</t>
  </si>
  <si>
    <t>Equipe WAN ?</t>
  </si>
  <si>
    <t>WN_1_RT_2_PD_P</t>
  </si>
  <si>
    <t>WN_1_RT_3_PD_P</t>
  </si>
  <si>
    <t>AG_2_HB_1_PD_P</t>
  </si>
  <si>
    <t>Allied Telesis</t>
  </si>
  <si>
    <t>3012Sl</t>
  </si>
  <si>
    <t>Matériel physique présent dans le 2/16</t>
  </si>
  <si>
    <t>Site 2</t>
  </si>
  <si>
    <t>ST_2_S2_1_PD_P</t>
  </si>
  <si>
    <t>2C:73:A0:9E:4E:00</t>
  </si>
  <si>
    <t>Equipe 1</t>
  </si>
  <si>
    <t>ST_2_S2_2_PD_P</t>
  </si>
  <si>
    <t>A4:B4:39:E8:7E:80</t>
  </si>
  <si>
    <t>ST_2_S3_1_PD_P</t>
  </si>
  <si>
    <t>Catalyst 3650</t>
  </si>
  <si>
    <t>WS-C3650-24TS</t>
  </si>
  <si>
    <t>FDO2246E0E7</t>
  </si>
  <si>
    <t>D4:C9:3C:FA:B3:80</t>
  </si>
  <si>
    <t>24 eth, 1 console, 1usb</t>
  </si>
  <si>
    <t>ST_2_S3_2_PD_P</t>
  </si>
  <si>
    <t>FDO1913E1SL</t>
  </si>
  <si>
    <t>A4:6C:2A:7A:14:00</t>
  </si>
  <si>
    <t>ST_2_RT_1_PD_P</t>
  </si>
  <si>
    <t>ST_2_FW_1_PD_P</t>
  </si>
  <si>
    <t>FGT60FTK2209JK3R</t>
  </si>
  <si>
    <t>94:F3:92:C0:DA:8C</t>
  </si>
  <si>
    <t xml:space="preserve">1 USB, 1 WAN2, 1 WAN1, 1 DMZ, 5 RJ-45, 1 Console,1 B, 1 A </t>
  </si>
  <si>
    <t>Site 3</t>
  </si>
  <si>
    <t>ST_3_S2_1_PD_P</t>
  </si>
  <si>
    <t>00:87:64:A6:24:00</t>
  </si>
  <si>
    <t>Equipe 2</t>
  </si>
  <si>
    <t>ST_3_S2_2_PD_P</t>
  </si>
  <si>
    <t>2C:73:A0:9E:E6:80</t>
  </si>
  <si>
    <t>ST_3_S3_1_PD_P</t>
  </si>
  <si>
    <t>Catalyst 9200L</t>
  </si>
  <si>
    <t>C9200L-24T-4G-E</t>
  </si>
  <si>
    <t>FOC2648AL40</t>
  </si>
  <si>
    <t>5C:B1:2E:35:43:00</t>
  </si>
  <si>
    <t>24 ports (10 Go),1 console, 4 ports SFP, 2USB, 2RJ45 (1console, 1 management)</t>
  </si>
  <si>
    <t>ST_3_S3_2_PD_P</t>
  </si>
  <si>
    <t>FOC2648AL30</t>
  </si>
  <si>
    <t>5C:B1:2E:35:43:80</t>
  </si>
  <si>
    <t>ST_3_RT_1_PD_P</t>
  </si>
  <si>
    <t>ST_3_FW_1_PD_P</t>
  </si>
  <si>
    <t>FGT60FTK2209JJD8</t>
  </si>
  <si>
    <t>94:F3:92:C0:BA:02</t>
  </si>
  <si>
    <t xml:space="preserve">Equipe 5 </t>
  </si>
  <si>
    <t>1 FE, 1 console, 1 AUX, 1 serial</t>
  </si>
  <si>
    <t>Equipe 5</t>
  </si>
  <si>
    <t>FG-60E</t>
  </si>
  <si>
    <t>FGT60ETK18099P8V</t>
  </si>
  <si>
    <t>E8:1C:BA:4F:6A:98</t>
  </si>
  <si>
    <t xml:space="preserve">1 USB, 1 WAN2, 1 WAN1, 1 DMZ, 7 RJ-45, 1 Console </t>
  </si>
  <si>
    <t>Agence 5</t>
  </si>
  <si>
    <t>AG_5_S2_1_PD_P</t>
  </si>
  <si>
    <t>Catalyst 2950</t>
  </si>
  <si>
    <t>FOC0832X468</t>
  </si>
  <si>
    <t>12.1(20)EA1a</t>
  </si>
  <si>
    <t>48 eth, 1 console</t>
  </si>
  <si>
    <t>AG_5_RT_1_PD_P</t>
  </si>
  <si>
    <t>Agence 5 (manquant)</t>
  </si>
  <si>
    <t>AG_5_FW_1_PD_P</t>
  </si>
  <si>
    <t>90:6C:AC:9B:F6:22</t>
  </si>
  <si>
    <t>Agence 6</t>
  </si>
  <si>
    <t>AG_6_S2_1_PD_P</t>
  </si>
  <si>
    <t>Equipe 3</t>
  </si>
  <si>
    <t>AG_6_RT_1_PD_P</t>
  </si>
  <si>
    <t>JHY0831K1D8</t>
  </si>
  <si>
    <t>2 FastEthernet, 1 console, 1 AUX, 1 ASDN BRI S/T, 1 serial</t>
  </si>
  <si>
    <t>AG_6_FW_1_PD_P</t>
  </si>
  <si>
    <t>FGT60ETK18099PDK</t>
  </si>
  <si>
    <t>E8:1C:BA:4F:70:D8</t>
  </si>
  <si>
    <t>WN_1_RT_4_PD_P</t>
  </si>
  <si>
    <t xml:space="preserve">2 Serial, 1 USB, 2 Fe, 1 AUX, 1 Console </t>
  </si>
  <si>
    <t>WN_1_RT_5_PD_P</t>
  </si>
  <si>
    <t>FCZ14141C1JV</t>
  </si>
  <si>
    <t>WN_1_RT_6_PD_P</t>
  </si>
  <si>
    <t>2 Serial, 1 USB, 2 Fe, 1 AUX, 1 Console, 1 Serial</t>
  </si>
  <si>
    <t xml:space="preserve">Equipe WAN ? </t>
  </si>
  <si>
    <t>WAN 2</t>
  </si>
  <si>
    <t>WN_2_S2_2_PD_P</t>
  </si>
  <si>
    <t>WAN 2 (devait être en 2/13 )</t>
  </si>
  <si>
    <t>WN_2_S2_1_PD_P</t>
  </si>
  <si>
    <t>C1000-24T-4G-L V01</t>
  </si>
  <si>
    <t>80:6A:00:3D:53:80</t>
  </si>
  <si>
    <t>1 Console, 24 FastEthernet, 4 SFP, 1 MicroUSB, 1 USB</t>
  </si>
  <si>
    <t>512 MB</t>
  </si>
  <si>
    <t>NEW SWITCH</t>
  </si>
  <si>
    <t>Catalyst 3560 (poe24)</t>
  </si>
  <si>
    <t>WS-C3560-24PS-S</t>
  </si>
  <si>
    <t>00:12:43:67:DC:00</t>
  </si>
  <si>
    <t>12.1 (19)EA1d</t>
  </si>
  <si>
    <t>1console, 24fastEthernet, 2 gigabit (un module fibre)</t>
  </si>
  <si>
    <t>128MB</t>
  </si>
  <si>
    <t>MDX-R-005</t>
  </si>
  <si>
    <t>2 FastEthernet, console, aux</t>
  </si>
  <si>
    <t>Agence 7</t>
  </si>
  <si>
    <t>AG_7_FW_1_PD_P</t>
  </si>
  <si>
    <t>AG_7_RT_1_PD_P</t>
  </si>
  <si>
    <t>8200L</t>
  </si>
  <si>
    <t>C8200L-1N-4T</t>
  </si>
  <si>
    <t>FCZ2819R2MU</t>
  </si>
  <si>
    <t>F8:C6:50:74:04:80</t>
  </si>
  <si>
    <t>1 Console, 1 USB, 4 GigaEthernet</t>
  </si>
  <si>
    <t>AG_7_SW_1_PD_P</t>
  </si>
  <si>
    <t>FOC2817Y56Y</t>
  </si>
  <si>
    <t>B4:4C:90:EE:4A:80</t>
  </si>
  <si>
    <t>8200Edge</t>
  </si>
  <si>
    <t>FCZ2819R2QB</t>
  </si>
  <si>
    <t>F8:C6:50:75:77:C0</t>
  </si>
  <si>
    <t>C1000-24T-4G-L</t>
  </si>
  <si>
    <t>FOC2611Y3L0</t>
  </si>
  <si>
    <t>80:6A:00:3B:08:80</t>
  </si>
  <si>
    <t>00:12:7F:01:85:00</t>
  </si>
  <si>
    <t>Type de materiel</t>
  </si>
  <si>
    <t>Gamme</t>
  </si>
  <si>
    <t>Adresse Mac</t>
  </si>
  <si>
    <t>Statut</t>
  </si>
  <si>
    <t>Local</t>
  </si>
  <si>
    <t>Identifiants</t>
  </si>
  <si>
    <t>Equipe</t>
  </si>
  <si>
    <t>Racké</t>
  </si>
  <si>
    <t>Nommage</t>
  </si>
  <si>
    <t>Nombre de Type de materiel</t>
  </si>
  <si>
    <t>Étiquettes de colonnes</t>
  </si>
  <si>
    <t>Switch L2</t>
  </si>
  <si>
    <t>Catalyst 2960 plus series</t>
  </si>
  <si>
    <t>48 ports lan, 4SFP GE</t>
  </si>
  <si>
    <t>Allumé (et Reset)</t>
  </si>
  <si>
    <t>2/13</t>
  </si>
  <si>
    <t>Étiquettes de lignes</t>
  </si>
  <si>
    <t>2/16</t>
  </si>
  <si>
    <t>Total général</t>
  </si>
  <si>
    <t xml:space="preserve"> 15.2(2)E8</t>
  </si>
  <si>
    <t>Firewall</t>
  </si>
  <si>
    <t>Catalyst 2960 series</t>
  </si>
  <si>
    <t>15.0(2)SE8</t>
  </si>
  <si>
    <t>24 ports lan ,4SFP GE</t>
  </si>
  <si>
    <t>15.0(2)SE4</t>
  </si>
  <si>
    <t>24 ports lan, 4SFP GE</t>
  </si>
  <si>
    <t>Switch L3</t>
  </si>
  <si>
    <t>Catalyst 3560 series</t>
  </si>
  <si>
    <t>Switch/WS-C3560-48TS-S</t>
  </si>
  <si>
    <t>à verifier</t>
  </si>
  <si>
    <t xml:space="preserve"> 12.2(37)SE</t>
  </si>
  <si>
    <t xml:space="preserve">32 MB </t>
  </si>
  <si>
    <t xml:space="preserve"> 12.2(55)SE11</t>
  </si>
  <si>
    <t>FDO1207Y24N</t>
  </si>
  <si>
    <t>12.2(55)SE11</t>
  </si>
  <si>
    <t>ISR 1100</t>
  </si>
  <si>
    <t>FCZ2618R2Y6</t>
  </si>
  <si>
    <t>EC:01:D5:0C:2C:80</t>
  </si>
  <si>
    <t>Cisco IOS XE Software, Version 17.06.05</t>
  </si>
  <si>
    <t>Allumé</t>
  </si>
  <si>
    <t>Réparition de materiel racké</t>
  </si>
  <si>
    <t>FCZ2618R2YE</t>
  </si>
  <si>
    <t>EC:01:D5:0C:23:80</t>
  </si>
  <si>
    <t>FCZ2422C1CC</t>
  </si>
  <si>
    <t xml:space="preserve"> ac4a.6717.8980</t>
  </si>
  <si>
    <t xml:space="preserve">Allumé </t>
  </si>
  <si>
    <t>Non Racké</t>
  </si>
  <si>
    <t>FCZ2422C1CA</t>
  </si>
  <si>
    <t>AC4A.671C.0800</t>
  </si>
  <si>
    <t>FCZ2548R1GU</t>
  </si>
  <si>
    <t>66:87:C6:C2:5B:80</t>
  </si>
  <si>
    <t>Répartiion par gamme</t>
  </si>
  <si>
    <t>FCZ2618R2XR</t>
  </si>
  <si>
    <t>EC:01:D5:36:9F:80</t>
  </si>
  <si>
    <t>FCZ2548R1FC</t>
  </si>
  <si>
    <t>68:87:C6:D3:73:80</t>
  </si>
  <si>
    <t>FCZ242290XU</t>
  </si>
  <si>
    <t>ac4a.671c.3e00</t>
  </si>
  <si>
    <t>C1131-8PW2</t>
  </si>
  <si>
    <t>FCZ242290XQ</t>
  </si>
  <si>
    <t>ac4a.671a.cf80</t>
  </si>
  <si>
    <t>FCZ242290XZ</t>
  </si>
  <si>
    <t>Site1</t>
  </si>
  <si>
    <t>G1-RTR-ST001-00-P-001</t>
  </si>
  <si>
    <t>FCZ2422C1BY</t>
  </si>
  <si>
    <t>ac4a.6718.2100</t>
  </si>
  <si>
    <t>FCZ2525R8S4</t>
  </si>
  <si>
    <t>F0:4A:02:7C:94:80</t>
  </si>
  <si>
    <t>FCZ2525R8S7</t>
  </si>
  <si>
    <t>f0:4a:02:7c:a4:00</t>
  </si>
  <si>
    <t xml:space="preserve"> ISR4221</t>
  </si>
  <si>
    <t xml:space="preserve">ISR4221/K9 </t>
  </si>
  <si>
    <t>4ce1.763d.5a30</t>
  </si>
  <si>
    <t>2 GigaEthernet, 2Serial, 1 SFP, 1 Console</t>
  </si>
  <si>
    <t>6917 Mo</t>
  </si>
  <si>
    <t>FGL2402LECZ</t>
  </si>
  <si>
    <t>4ce1.75fc.d2b0</t>
  </si>
  <si>
    <t>Cisco IOS XE Software, Version 16.09.04</t>
  </si>
  <si>
    <t>4ce1.7638.e720</t>
  </si>
  <si>
    <t>catalyst 1000 series</t>
  </si>
  <si>
    <t xml:space="preserve">C1000-24T-4G-L </t>
  </si>
  <si>
    <t xml:space="preserve">15.2(7)E7 </t>
  </si>
  <si>
    <t>24 Gigabite en cuivre et 4 Gigabite en uplinks SFP</t>
  </si>
  <si>
    <t>256 Mo</t>
  </si>
  <si>
    <t>FOC26101M30</t>
  </si>
  <si>
    <t>80:6A:00:3B:00:80</t>
  </si>
  <si>
    <t>Cisco IOS Software, Version 15.2(7)E7</t>
  </si>
  <si>
    <t>1 Virtual Ethernet interface, 28 Gigabit Ethernet interfaces, 1USB, 1console</t>
  </si>
  <si>
    <t>2GB</t>
  </si>
  <si>
    <t xml:space="preserve"> C1000-24T-4G-L</t>
  </si>
  <si>
    <t xml:space="preserve">Cisco IOS Software, Version 15.2(7)E6  </t>
  </si>
  <si>
    <t xml:space="preserve">Agence 10 </t>
  </si>
  <si>
    <t xml:space="preserve">Cisco IOS Software, Version 15.2(7)E5 </t>
  </si>
  <si>
    <t>Agence 11</t>
  </si>
  <si>
    <t>G2-SWT-AG011-00-P-201</t>
  </si>
  <si>
    <t xml:space="preserve"> FCW2352A1SZ</t>
  </si>
  <si>
    <t xml:space="preserve"> A4:B4:39:E9:81:80
</t>
  </si>
  <si>
    <t>G1-SWT-ST001-00-P-202</t>
  </si>
  <si>
    <t>WS-C2960+24TC-LB</t>
  </si>
  <si>
    <t xml:space="preserve"> 2C:73:A0:9E:E6:80
</t>
  </si>
  <si>
    <t xml:space="preserve"> Cisco IOS Software, Version 15.2(2)E8</t>
  </si>
  <si>
    <t>G1-SWT-AG004-00-P-201</t>
  </si>
  <si>
    <t xml:space="preserve"> Cisco IOS Software, Version 15.2(2)E7</t>
  </si>
  <si>
    <t xml:space="preserve">Catalyst 2960 Plus Series </t>
  </si>
  <si>
    <t xml:space="preserve">WS-C2960+24TC-L </t>
  </si>
  <si>
    <t>Cisco IOS Software, Version 15.2(2)E8</t>
  </si>
  <si>
    <t>1 Virtual Ethernet interface
24 FastEthernet interfaces
2 Gigabit Ethernet interfaces</t>
  </si>
  <si>
    <t>112MB</t>
  </si>
  <si>
    <t>1 Virtual Ethernet interface  
24 FastEthernet interfaces  
2 Gigabit Ethernet interfaces</t>
  </si>
  <si>
    <t>64MB</t>
  </si>
  <si>
    <t xml:space="preserve"> WS-C2960+24TC-L</t>
  </si>
  <si>
    <t xml:space="preserve">FOC2308Y0HR
</t>
  </si>
  <si>
    <t xml:space="preserve">00:87:64:A6:24:00
</t>
  </si>
  <si>
    <t xml:space="preserve"> Cisco IOS XE Software, Version 15.2(2)E8   </t>
  </si>
  <si>
    <t>24 ports Ethernet 10/100 et 2 ports Gigabit Ethernet double connectique SFP et RJ45</t>
  </si>
  <si>
    <t>FOC2308Y0QQ</t>
  </si>
  <si>
    <t>Cisco IOS XE Software, Version 15.2(2)E8</t>
  </si>
  <si>
    <t>Login: Admin mdp:cisco</t>
  </si>
  <si>
    <t xml:space="preserve">Catalyst 2960 Series </t>
  </si>
  <si>
    <t xml:space="preserve">WS-C2960-24TT-L </t>
  </si>
  <si>
    <t>FOC1403V33J</t>
  </si>
  <si>
    <t>EC4476875A80</t>
  </si>
  <si>
    <t>Cisco IOS Software, C2960 Software (C2960-LANBASEK9-M), Version 15.0(2)SE4</t>
  </si>
  <si>
    <t>26 FastEthernet</t>
  </si>
  <si>
    <t>31Mo</t>
  </si>
  <si>
    <t xml:space="preserve">Catalyst 3650 Series </t>
  </si>
  <si>
    <t>Cisco IOS XE Software, Version 16.12.8</t>
  </si>
  <si>
    <t>1 Virtual Ethernet interface
28 Gigabit Ethernet interfaces</t>
  </si>
  <si>
    <t>1.5GB</t>
  </si>
  <si>
    <t>Cisco IOS XE Software, Version 16.12.08</t>
  </si>
  <si>
    <t xml:space="preserve">1 USB, 1 Console, 24 GigaEthernet Data, 4 GigaEthernet Uplink
</t>
  </si>
  <si>
    <t xml:space="preserve">1.5GB </t>
  </si>
  <si>
    <t>Catalyst 3750 Series P0E-48</t>
  </si>
  <si>
    <t>WS-C3750-48P</t>
  </si>
  <si>
    <t>FDO1130Y0BQ</t>
  </si>
  <si>
    <t>00:07:0E:7B:5A:00</t>
  </si>
  <si>
    <t>Version 12.2(25)SEE3</t>
  </si>
  <si>
    <t>48 ports fa, 2ports fibres, 2 port poe ?</t>
  </si>
  <si>
    <t>15Mo</t>
  </si>
  <si>
    <t>0</t>
  </si>
  <si>
    <t>Catalyst 8200 Edge Series</t>
  </si>
  <si>
    <t>C8200-1N-4T</t>
  </si>
  <si>
    <t>F8C650740480</t>
  </si>
  <si>
    <t>Cisco IOS XE Software, Version 17.09.04a</t>
  </si>
  <si>
    <t>4 Gigabit Ethernet interfaces</t>
  </si>
  <si>
    <t>6,8GB</t>
  </si>
  <si>
    <t xml:space="preserve">Agence 10 - Agence 11 </t>
  </si>
  <si>
    <t xml:space="preserve">FCZ2819R2QB
</t>
  </si>
  <si>
    <t xml:space="preserve"> f8c6.5075.77c0 </t>
  </si>
  <si>
    <t>Cisco IOS XE Software 17.6(6r)</t>
  </si>
  <si>
    <t>7,16 Go</t>
  </si>
  <si>
    <t>Cisco 1800 Series</t>
  </si>
  <si>
    <t>C1841-ADVIPSERVICESK9-M</t>
  </si>
  <si>
    <t>08:1f:f3:ec:69:74</t>
  </si>
  <si>
    <t>Cisco IOS Software, Version 15.1(3)T4</t>
  </si>
  <si>
    <t>2 FastEthernet interfaces
2 Serial(sync/async) interfaces
1 Virtual Private Network (VPN) Module</t>
  </si>
  <si>
    <t>Agence 6 - Agence 7</t>
  </si>
  <si>
    <t xml:space="preserve">28:93:fe:6c:0e:e0 </t>
  </si>
  <si>
    <t>2 FastEthernet interfaces
2 Low-speed serial(sync/async) interfaces
1 Virtual Private Network (VPN) Module</t>
  </si>
  <si>
    <t xml:space="preserve">Cisco 1800 Series </t>
  </si>
  <si>
    <t xml:space="preserve">08:1f:f3:28:db:24 </t>
  </si>
  <si>
    <t>2 FastEthernet interfaces
3 Serial(sync/async) interfaces
1 Virtual Private Network (VPN) Module</t>
  </si>
  <si>
    <t xml:space="preserve">Cisco 1900 Series </t>
  </si>
  <si>
    <t xml:space="preserve">FCZ214840P2 </t>
  </si>
  <si>
    <t>707d.b905.4780 (g0/0)</t>
  </si>
  <si>
    <t>Version 15.0(1r)M16</t>
  </si>
  <si>
    <t>2 Gigabit Ethernet interfaces
2 Serial(sync/async) interfaces
1 terminal line
1 Virtual Private Network (VPN) Module</t>
  </si>
  <si>
    <t>240Mo</t>
  </si>
  <si>
    <t xml:space="preserve">Cisco 2600 Series </t>
  </si>
  <si>
    <t>Cisco 2611XM</t>
  </si>
  <si>
    <t xml:space="preserve"> Cisco IOS µ C2600 Software (C2600-IK9O3S3-M), Version 12.3(22)</t>
  </si>
  <si>
    <t>2 FastEthernet interfaces</t>
  </si>
  <si>
    <t>32MB</t>
  </si>
  <si>
    <t xml:space="preserve">Agence 9 </t>
  </si>
  <si>
    <t>ISR 4000</t>
  </si>
  <si>
    <t>Cisco IOS XE Software, Version 17.12.02</t>
  </si>
  <si>
    <t>1 console, 2 WAN, 1usb</t>
  </si>
  <si>
    <t>8Go</t>
  </si>
  <si>
    <t>FDO2613M223</t>
  </si>
  <si>
    <t>FDO26120FZD</t>
  </si>
  <si>
    <t>6026.aa78.6fe0</t>
  </si>
  <si>
    <t>Cisco IOS XE Software, Version 17.12.03</t>
  </si>
  <si>
    <t>2 Gigabit Ethernet interfaces</t>
  </si>
  <si>
    <t>acbc.d9e8.8aa0</t>
  </si>
  <si>
    <t>Cisco IOS XE Software, Version 17.3.4a</t>
  </si>
  <si>
    <t>2 MGMT, 3 int (GE0/0/0 et GE0/0/1), 1 USB, 2  AUX, 1 console, 1 microUSB</t>
  </si>
  <si>
    <t xml:space="preserve"> ac3a.67fb.6e80</t>
  </si>
  <si>
    <t>ISR 1100X</t>
  </si>
  <si>
    <t xml:space="preserve"> C1131-8PWE</t>
  </si>
  <si>
    <t xml:space="preserve"> FGL2709L1X6</t>
  </si>
  <si>
    <t>c884.a1f5.9500  ??</t>
  </si>
  <si>
    <t xml:space="preserve">Cisco IOS XE Software, Version 17.09.02a
</t>
  </si>
  <si>
    <t>1 Virtual Ethernet interface
10 Gigabit Ethernet interfaces
1 2.5 Gigabit Ethernet interface</t>
  </si>
  <si>
    <t>enable secret : Adminclass1</t>
  </si>
  <si>
    <t>Agence 1 - Agence 2</t>
  </si>
  <si>
    <t>Fortigate 60E</t>
  </si>
  <si>
    <t>e8:1c:ba:4f:70:db</t>
  </si>
  <si>
    <t>FortiGate-60E v7.4.3,build2573,240201 (GA.F)</t>
  </si>
  <si>
    <t>Login: admin mdp:admin</t>
  </si>
  <si>
    <t>FGT60ETK1809A3ED</t>
  </si>
  <si>
    <t>e8:1c:ba:75:2c:fb</t>
  </si>
  <si>
    <t>e8:1c:ba:4f:6a:9b</t>
  </si>
  <si>
    <t>FortiGate-60E v7.2.4</t>
  </si>
  <si>
    <t>Fortigate 60F</t>
  </si>
  <si>
    <t>94:f3:92:c0:79:91</t>
  </si>
  <si>
    <t>FortiGate-60F v7.4.1,build2463,230830 (GA.F)</t>
  </si>
  <si>
    <t>94:f3:92:c0:e9:21</t>
  </si>
  <si>
    <t>FortiGate-60F v7.4.3,build2573,240201 (GA.F)</t>
  </si>
  <si>
    <t>94:f3:92:c0:e0:93</t>
  </si>
  <si>
    <t>FortiGate-60F v7.4.2,build2571,231219 (GA.F)</t>
  </si>
  <si>
    <t>G1-FRW-AG004-00-P-001</t>
  </si>
  <si>
    <t>94:f3:92:c0:dd:d7</t>
  </si>
  <si>
    <t>94:f3:92:c0:ba:05</t>
  </si>
  <si>
    <t>fortiOS , v7.4.3</t>
  </si>
  <si>
    <t>94:f3:92:c0:da:8f</t>
  </si>
  <si>
    <t>Sophos</t>
  </si>
  <si>
    <t xml:space="preserve">UTM220 </t>
  </si>
  <si>
    <t>UTM220 rev.5</t>
  </si>
  <si>
    <t>A18069697184C73</t>
  </si>
  <si>
    <t>00:1A:8C:3D:25:F0</t>
  </si>
  <si>
    <t>GE 8 = 1 LAN, 1 WAN, 1 DMZ, 1HA</t>
  </si>
  <si>
    <t>Series 2960</t>
  </si>
  <si>
    <t>WS-C2960-24TT-L V03</t>
  </si>
  <si>
    <t>00:1D:71:64:63:00</t>
  </si>
  <si>
    <t>24 x Ethernet </t>
  </si>
  <si>
    <t>1</t>
  </si>
  <si>
    <t>G1-SWT-ST001-00-P-201</t>
  </si>
  <si>
    <t>Catalyst 3560 Series</t>
  </si>
  <si>
    <t>WS-C3560-248TS-S V02</t>
  </si>
  <si>
    <t>FD01202Z4AA</t>
  </si>
  <si>
    <t>48 x Ethernet </t>
  </si>
  <si>
    <t>C9200L-24T-4G-E V01</t>
  </si>
  <si>
    <t>48 x Ethernet , 4 x Gb</t>
  </si>
  <si>
    <t>Neuf</t>
  </si>
  <si>
    <t>G1-SWT-ST001-00-P-301</t>
  </si>
  <si>
    <t>G1-RTR-AG004-00-P-001</t>
  </si>
  <si>
    <t>s</t>
  </si>
  <si>
    <t>Type Materiel</t>
  </si>
  <si>
    <t>Statut = ['None','Allumé','Testé']</t>
  </si>
  <si>
    <t>IRS 1100</t>
  </si>
  <si>
    <t>Pare feu</t>
  </si>
  <si>
    <t>a determiné</t>
  </si>
  <si>
    <t>Switch/"WS-C2960+24TC-L</t>
  </si>
  <si>
    <t>7081983K bytes of flash memory at bootflash:.</t>
  </si>
  <si>
    <t>7081983K bytes of flash memory at bootflash</t>
  </si>
  <si>
    <t>Switch/"WS-C2960+24TC-LB'</t>
  </si>
  <si>
    <t xml:space="preserve">Cisco 4300 series </t>
  </si>
  <si>
    <t>2.8Go</t>
  </si>
  <si>
    <t>Pouur mac: get hardware nic internal</t>
  </si>
  <si>
    <t>pour le reste: get system status</t>
  </si>
  <si>
    <t xml:space="preserve">Cisco 4200 </t>
  </si>
  <si>
    <t>6.3Go</t>
  </si>
  <si>
    <t xml:space="preserve">cisco </t>
  </si>
  <si>
    <t>IRS 1131</t>
  </si>
  <si>
    <t>7605247K bytes of flash memory at bootflash</t>
  </si>
  <si>
    <t>3.1GB</t>
  </si>
  <si>
    <t>3GB</t>
  </si>
  <si>
    <t xml:space="preserve"> Cisco IOS  C2600 Software (C2600-IK9O3S3-M), Version 12.3(22)</t>
  </si>
  <si>
    <t>HORS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</si>
</sst>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  <font>
      <b/>
      <sz val="16"/>
      <color theme="1"/>
      <name val="Calibri"/>
      <family val="2"/>
      <scheme val="minor"/>
    </font>
    <font>
      <b/>
      <i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charset val="1"/>
    </font>
    <font>
      <sz val="12"/>
      <color theme="1"/>
      <name val="Calibri Light"/>
      <scheme val="major"/>
    </font>
    <font>
      <sz val="12"/>
      <color rgb="FF000000"/>
      <name val="Calibri Light"/>
      <scheme val="major"/>
    </font>
    <font>
      <b/>
      <sz val="14"/>
      <color rgb="FFFFFFFF"/>
      <name val="Calibri"/>
      <scheme val="minor"/>
    </font>
    <font>
      <sz val="12"/>
      <color theme="1"/>
      <name val="Gg Sans"/>
      <charset val="1"/>
    </font>
    <font>
      <b/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A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3" fillId="0" borderId="0" xfId="1" applyBorder="1" applyAlignment="1">
      <alignment horizontal="right"/>
    </xf>
    <xf numFmtId="0" fontId="0" fillId="5" borderId="1" xfId="0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3" fillId="0" borderId="0" xfId="1" applyAlignment="1">
      <alignment horizontal="right"/>
    </xf>
    <xf numFmtId="0" fontId="0" fillId="0" borderId="1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0" fillId="9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7" xfId="0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0" fontId="0" fillId="13" borderId="7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8" borderId="30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8" borderId="29" xfId="0" applyFont="1" applyFill="1" applyBorder="1" applyAlignment="1">
      <alignment vertical="center"/>
    </xf>
    <xf numFmtId="0" fontId="12" fillId="8" borderId="27" xfId="0" applyFont="1" applyFill="1" applyBorder="1" applyAlignment="1">
      <alignment vertical="center"/>
    </xf>
    <xf numFmtId="0" fontId="12" fillId="8" borderId="28" xfId="0" applyFont="1" applyFill="1" applyBorder="1" applyAlignment="1">
      <alignment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9" borderId="1" xfId="0" applyFont="1" applyFill="1" applyBorder="1" applyAlignment="1">
      <alignment horizontal="center"/>
    </xf>
    <xf numFmtId="0" fontId="0" fillId="9" borderId="0" xfId="0" applyFill="1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center"/>
    </xf>
    <xf numFmtId="16" fontId="0" fillId="0" borderId="0" xfId="0" applyNumberFormat="1"/>
    <xf numFmtId="20" fontId="0" fillId="0" borderId="0" xfId="0" applyNumberFormat="1"/>
    <xf numFmtId="0" fontId="0" fillId="0" borderId="30" xfId="0" applyBorder="1" applyAlignment="1">
      <alignment horizontal="center" vertical="center"/>
    </xf>
    <xf numFmtId="0" fontId="9" fillId="0" borderId="0" xfId="0" applyFont="1"/>
    <xf numFmtId="17" fontId="4" fillId="0" borderId="0" xfId="0" applyNumberFormat="1" applyFont="1"/>
    <xf numFmtId="0" fontId="14" fillId="0" borderId="4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4" xfId="0" applyBorder="1"/>
    <xf numFmtId="0" fontId="4" fillId="0" borderId="28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/>
    </xf>
    <xf numFmtId="16" fontId="15" fillId="0" borderId="0" xfId="0" applyNumberFormat="1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7" fillId="2" borderId="1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20" borderId="0" xfId="0" applyFill="1" applyAlignment="1">
      <alignment wrapText="1"/>
    </xf>
    <xf numFmtId="0" fontId="0" fillId="20" borderId="0" xfId="0" applyFill="1"/>
    <xf numFmtId="0" fontId="0" fillId="22" borderId="0" xfId="0" applyFill="1" applyAlignment="1">
      <alignment horizontal="left"/>
    </xf>
    <xf numFmtId="0" fontId="0" fillId="22" borderId="0" xfId="0" applyFill="1"/>
    <xf numFmtId="0" fontId="16" fillId="0" borderId="0" xfId="0" applyFont="1" applyAlignment="1">
      <alignment horizontal="center"/>
    </xf>
    <xf numFmtId="0" fontId="17" fillId="2" borderId="11" xfId="0" applyFont="1" applyFill="1" applyBorder="1"/>
    <xf numFmtId="49" fontId="15" fillId="0" borderId="0" xfId="0" applyNumberFormat="1" applyFont="1" applyAlignment="1">
      <alignment vertical="center"/>
    </xf>
    <xf numFmtId="0" fontId="18" fillId="0" borderId="0" xfId="0" applyFont="1"/>
    <xf numFmtId="0" fontId="12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0" borderId="2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0" borderId="19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11" fillId="23" borderId="0" xfId="0" applyFont="1" applyFill="1" applyAlignment="1">
      <alignment horizontal="center"/>
    </xf>
    <xf numFmtId="0" fontId="11" fillId="21" borderId="0" xfId="0" applyFont="1" applyFill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17">
    <dxf>
      <font>
        <sz val="12"/>
        <name val="Calibri Light"/>
        <scheme val="major"/>
      </font>
      <numFmt numFmtId="30" formatCode="@"/>
      <alignment horizontal="general" vertical="center"/>
    </dxf>
    <dxf>
      <font>
        <sz val="12"/>
        <name val="Calibri Light"/>
        <scheme val="major"/>
      </font>
      <numFmt numFmtId="30" formatCode="@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sz val="12"/>
        <name val="Calibri Light"/>
        <scheme val="major"/>
      </font>
      <numFmt numFmtId="30" formatCode="@"/>
      <alignment horizontal="center" vertical="center"/>
    </dxf>
    <dxf>
      <font>
        <sz val="12"/>
        <name val="Calibri Light"/>
        <scheme val="major"/>
      </font>
      <numFmt numFmtId="30" formatCode="@"/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sz val="12"/>
        <name val="Calibri Light"/>
        <scheme val="major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FF00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[Inventaire-matériel-DRAFT.xlsx](CLEAN)Materiel24-25!Tableau croisé dynamique1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du nombre de materiel par local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'(CLEAN)Materiel24-25'!$R$1:$R$2</c:f>
              <c:strCache>
                <c:ptCount val="1"/>
                <c:pt idx="0">
                  <c:v>2/13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'(CLEAN)Materiel24-25'!$Q$3:$Q$7</c:f>
              <c:strCache>
                <c:ptCount val="4"/>
                <c:pt idx="0">
                  <c:v>Firewall</c:v>
                </c:pt>
                <c:pt idx="1">
                  <c:v>Routeur</c:v>
                </c:pt>
                <c:pt idx="2">
                  <c:v>Switch L2</c:v>
                </c:pt>
                <c:pt idx="3">
                  <c:v>Switch L3</c:v>
                </c:pt>
              </c:strCache>
            </c:strRef>
          </c:cat>
          <c:val>
            <c:numRef>
              <c:f>'(CLEAN)Materiel24-25'!$R$3:$R$7</c:f>
              <c:numCache>
                <c:formatCode>General</c:formatCode>
                <c:ptCount val="4"/>
                <c:pt idx="0">
                  <c:v>5</c:v>
                </c:pt>
                <c:pt idx="1">
                  <c:v>22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15-486D-B675-94720BAB22BE}"/>
            </c:ext>
          </c:extLst>
        </c:ser>
        <c:ser>
          <c:idx val="1"/>
          <c:order val="1"/>
          <c:tx>
            <c:strRef>
              <c:f>'(CLEAN)Materiel24-25'!$S$1:$S$2</c:f>
              <c:strCache>
                <c:ptCount val="1"/>
                <c:pt idx="0">
                  <c:v>2/16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'(CLEAN)Materiel24-25'!$Q$3:$Q$7</c:f>
              <c:strCache>
                <c:ptCount val="4"/>
                <c:pt idx="0">
                  <c:v>Firewall</c:v>
                </c:pt>
                <c:pt idx="1">
                  <c:v>Routeur</c:v>
                </c:pt>
                <c:pt idx="2">
                  <c:v>Switch L2</c:v>
                </c:pt>
                <c:pt idx="3">
                  <c:v>Switch L3</c:v>
                </c:pt>
              </c:strCache>
            </c:strRef>
          </c:cat>
          <c:val>
            <c:numRef>
              <c:f>'(CLEAN)Materiel24-25'!$S$3:$S$7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15-486D-B675-94720BAB2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99052039"/>
        <c:axId val="99062279"/>
      </c:barChart>
      <c:catAx>
        <c:axId val="99052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Type de materiel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2279"/>
        <c:crosses val="autoZero"/>
        <c:auto val="1"/>
        <c:lblAlgn val="ctr"/>
        <c:lblOffset val="100"/>
        <c:noMultiLvlLbl val="0"/>
      </c:catAx>
      <c:valAx>
        <c:axId val="99062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</a:t>
                </a:r>
              </a:p>
            </c:rich>
          </c:tx>
          <c:layout>
            <c:manualLayout>
              <c:xMode val="edge"/>
              <c:yMode val="edge"/>
              <c:x val="0.44947834645669299"/>
              <c:y val="0.78087890055409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du materiel racké</a:t>
            </a:r>
          </a:p>
        </c:rich>
      </c:tx>
      <c:layout>
        <c:manualLayout>
          <c:xMode val="edge"/>
          <c:yMode val="edge"/>
          <c:x val="0.2662082239720035"/>
          <c:y val="3.35648148148148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Champ2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89-4647-AE71-C56B093459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89-4647-AE71-C56B093459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'(CLEAN)Materiel24-25'!$Q$11:$Q$12</c:f>
              <c:strCache>
                <c:ptCount val="2"/>
                <c:pt idx="0">
                  <c:v>Racké</c:v>
                </c:pt>
                <c:pt idx="1">
                  <c:v>Non Racké</c:v>
                </c:pt>
              </c:strCache>
            </c:strRef>
          </c:cat>
          <c:val>
            <c:numRef>
              <c:f>'(CLEAN)Materiel24-25'!$R$11:$R$12</c:f>
              <c:numCache>
                <c:formatCode>General</c:formatCode>
                <c:ptCount val="2"/>
                <c:pt idx="0">
                  <c:v>44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12C0BAB-623F-4451-AA79-F00C78FA4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périphérique par gamme</a:t>
            </a:r>
          </a:p>
        </c:rich>
      </c:tx>
      <c:layout>
        <c:manualLayout>
          <c:xMode val="edge"/>
          <c:yMode val="edge"/>
          <c:x val="0.23368522776551523"/>
          <c:y val="1.254562165042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Champ2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'(CLEAN)Materiel24-25'!$Q$15:$Q$34</c:f>
              <c:strCache>
                <c:ptCount val="20"/>
                <c:pt idx="0">
                  <c:v>Catalyst 2960 plus series</c:v>
                </c:pt>
                <c:pt idx="1">
                  <c:v>Catalyst 2960 series</c:v>
                </c:pt>
                <c:pt idx="2">
                  <c:v>Catalyst 3560 series</c:v>
                </c:pt>
                <c:pt idx="3">
                  <c:v>ISR 1100</c:v>
                </c:pt>
                <c:pt idx="4">
                  <c:v> ISR4221</c:v>
                </c:pt>
                <c:pt idx="5">
                  <c:v>catalyst 1000 series</c:v>
                </c:pt>
                <c:pt idx="6">
                  <c:v>Catalyst 2960 Plus Series </c:v>
                </c:pt>
                <c:pt idx="7">
                  <c:v>Catalyst 2960 Series </c:v>
                </c:pt>
                <c:pt idx="8">
                  <c:v>Catalyst 3650 Series </c:v>
                </c:pt>
                <c:pt idx="9">
                  <c:v>Catalyst 3750 Series P0E-48</c:v>
                </c:pt>
                <c:pt idx="10">
                  <c:v>Catalyst 8200 Edge Series</c:v>
                </c:pt>
                <c:pt idx="11">
                  <c:v>Cisco 1800 Series</c:v>
                </c:pt>
                <c:pt idx="12">
                  <c:v>Cisco 1800 Series </c:v>
                </c:pt>
                <c:pt idx="13">
                  <c:v>Cisco 1900 Series </c:v>
                </c:pt>
                <c:pt idx="14">
                  <c:v>Cisco 2600 Series </c:v>
                </c:pt>
                <c:pt idx="15">
                  <c:v>ISR 4000</c:v>
                </c:pt>
                <c:pt idx="16">
                  <c:v>ISR 1100X</c:v>
                </c:pt>
                <c:pt idx="17">
                  <c:v>Fortigate 60E</c:v>
                </c:pt>
                <c:pt idx="18">
                  <c:v>Fortigate 60F</c:v>
                </c:pt>
                <c:pt idx="19">
                  <c:v>UTM220 </c:v>
                </c:pt>
              </c:strCache>
            </c:strRef>
          </c:cat>
          <c:val>
            <c:numRef>
              <c:f>'(CLEAN)Materiel24-25'!$R$15:$R$34</c:f>
              <c:numCache>
                <c:formatCode>General</c:formatCode>
                <c:ptCount val="2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16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5</c:v>
                </c:pt>
                <c:pt idx="16">
                  <c:v>1</c:v>
                </c:pt>
                <c:pt idx="17">
                  <c:v>3</c:v>
                </c:pt>
                <c:pt idx="18">
                  <c:v>6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3F41074-FB08-4D68-96CC-3694231DA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71280648"/>
        <c:axId val="908621320"/>
      </c:barChart>
      <c:catAx>
        <c:axId val="671280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Gamme de périphérique</a:t>
                </a:r>
              </a:p>
            </c:rich>
          </c:tx>
          <c:layout>
            <c:manualLayout>
              <c:xMode val="edge"/>
              <c:yMode val="edge"/>
              <c:x val="0.37294543006213854"/>
              <c:y val="0.93975853018372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21320"/>
        <c:crosses val="autoZero"/>
        <c:auto val="1"/>
        <c:lblAlgn val="ctr"/>
        <c:lblOffset val="100"/>
        <c:noMultiLvlLbl val="0"/>
      </c:catAx>
      <c:valAx>
        <c:axId val="90862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80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5181600</xdr:colOff>
      <xdr:row>9</xdr:row>
      <xdr:rowOff>323850</xdr:rowOff>
    </xdr:to>
    <xdr:graphicFrame macro="">
      <xdr:nvGraphicFramePr>
        <xdr:cNvPr id="3" name="Graphique 2" descr="Type de graphique : Barres groupées. « Type de materiel » par « Type de materiel » et « Local »&#10;&#10;Description générée automatiquement">
          <a:extLst>
            <a:ext uri="{FF2B5EF4-FFF2-40B4-BE49-F238E27FC236}">
              <a16:creationId xmlns:a16="http://schemas.microsoft.com/office/drawing/2014/main" id="{0A7E29E6-A8FF-FC8B-E4C0-8706C49CD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9525</xdr:rowOff>
    </xdr:from>
    <xdr:to>
      <xdr:col>1</xdr:col>
      <xdr:colOff>0</xdr:colOff>
      <xdr:row>23</xdr:row>
      <xdr:rowOff>57150</xdr:rowOff>
    </xdr:to>
    <xdr:graphicFrame macro="">
      <xdr:nvGraphicFramePr>
        <xdr:cNvPr id="5" name="Graphique 4" descr="Type de graphique : Secteurs. « Champ2 »&#10;&#10;Description générée automatiquement">
          <a:extLst>
            <a:ext uri="{FF2B5EF4-FFF2-40B4-BE49-F238E27FC236}">
              <a16:creationId xmlns:a16="http://schemas.microsoft.com/office/drawing/2014/main" id="{7E3B179D-8CB8-BF13-DF38-93C09171AAD5}"/>
            </a:ext>
            <a:ext uri="{147F2762-F138-4A5C-976F-8EAC2B608ADB}">
              <a16:predDERef xmlns:a16="http://schemas.microsoft.com/office/drawing/2014/main" pred="{0A7E29E6-A8FF-FC8B-E4C0-8706C49CD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47625</xdr:rowOff>
    </xdr:from>
    <xdr:to>
      <xdr:col>1</xdr:col>
      <xdr:colOff>0</xdr:colOff>
      <xdr:row>37</xdr:row>
      <xdr:rowOff>57150</xdr:rowOff>
    </xdr:to>
    <xdr:graphicFrame macro="">
      <xdr:nvGraphicFramePr>
        <xdr:cNvPr id="7" name="Graphique 6" descr="Type de graphique : Histogramme groupé. « Champ2 »&#10;&#10;Description générée automatiquement">
          <a:extLst>
            <a:ext uri="{FF2B5EF4-FFF2-40B4-BE49-F238E27FC236}">
              <a16:creationId xmlns:a16="http://schemas.microsoft.com/office/drawing/2014/main" id="{F87DCA34-6998-210A-DD25-6A964BFFFC3B}"/>
            </a:ext>
            <a:ext uri="{147F2762-F138-4A5C-976F-8EAC2B608ADB}">
              <a16:predDERef xmlns:a16="http://schemas.microsoft.com/office/drawing/2014/main" pred="{7E3B179D-8CB8-BF13-DF38-93C09171A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43.607923611111" createdVersion="8" refreshedVersion="8" minRefreshableVersion="3" recordCount="64" xr:uid="{2ECEEE84-B95A-449F-8E5B-AD78C506096B}">
  <cacheSource type="worksheet">
    <worksheetSource name="Tableau1"/>
  </cacheSource>
  <cacheFields count="13">
    <cacheField name="Type de materiel" numFmtId="0">
      <sharedItems count="4">
        <s v="Switch L2"/>
        <s v="Switch L3"/>
        <s v="Routeur"/>
        <s v="Firewall"/>
      </sharedItems>
    </cacheField>
    <cacheField name="Fabricant" numFmtId="0">
      <sharedItems/>
    </cacheField>
    <cacheField name="Gamme" numFmtId="0">
      <sharedItems/>
    </cacheField>
    <cacheField name="Modèle" numFmtId="0">
      <sharedItems containsBlank="1"/>
    </cacheField>
    <cacheField name="Numéro de série" numFmtId="0">
      <sharedItems/>
    </cacheField>
    <cacheField name="Adresse Mac" numFmtId="0">
      <sharedItems containsBlank="1"/>
    </cacheField>
    <cacheField name="Version OS" numFmtId="0">
      <sharedItems containsBlank="1"/>
    </cacheField>
    <cacheField name="Port disponibles" numFmtId="0">
      <sharedItems containsBlank="1"/>
    </cacheField>
    <cacheField name="Mémoire Flash" numFmtId="0">
      <sharedItems containsBlank="1"/>
    </cacheField>
    <cacheField name="Statut" numFmtId="0">
      <sharedItems containsBlank="1"/>
    </cacheField>
    <cacheField name="Local" numFmtId="49">
      <sharedItems count="2">
        <s v="2/13"/>
        <s v="2/16"/>
      </sharedItems>
    </cacheField>
    <cacheField name="Identifiants" numFmtId="0">
      <sharedItems containsBlank="1"/>
    </cacheField>
    <cacheField name="Racké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s v="Cisco"/>
    <s v="Catalyst 2960 plus series"/>
    <m/>
    <s v="FCW2148A0FW"/>
    <s v="24:7E:12:CD:F7:80"/>
    <s v="15.2(2)E7"/>
    <s v="48 ports lan, 4SFP GE"/>
    <s v="64 MB"/>
    <s v="Allumé (et Reset)"/>
    <x v="0"/>
    <m/>
    <n v="1"/>
  </r>
  <r>
    <x v="0"/>
    <s v="Cisco"/>
    <s v="Catalyst 2960 plus series"/>
    <m/>
    <s v="FCW2352A1T9"/>
    <s v="A4:B4:39:D6:BE:00"/>
    <s v=" 15.2(2)E8"/>
    <s v="48 ports lan, 4SFP GE"/>
    <s v="64 MB"/>
    <s v="Allumé (et Reset)"/>
    <x v="0"/>
    <m/>
    <n v="1"/>
  </r>
  <r>
    <x v="0"/>
    <s v="Cisco"/>
    <s v="Catalyst 2960 series"/>
    <m/>
    <s v="FOC1213Z3NX"/>
    <s v="00:21:1B:B9:D8:80"/>
    <s v="15.0(2)SE8"/>
    <s v="24 ports lan ,4SFP GE"/>
    <m/>
    <s v="Allumé (et Reset)"/>
    <x v="0"/>
    <m/>
    <n v="1"/>
  </r>
  <r>
    <x v="0"/>
    <s v="Cisco"/>
    <s v="Catalyst 2960 series"/>
    <m/>
    <s v="FOC1030Z27F"/>
    <s v="00:19:06:5F:93:80"/>
    <s v="15.0(2)SE4"/>
    <s v="24 ports lan, 4SFP GE"/>
    <m/>
    <s v="Allumé (et Reset)"/>
    <x v="0"/>
    <m/>
    <n v="1"/>
  </r>
  <r>
    <x v="1"/>
    <s v="Cisco"/>
    <s v="Catalyst 3560 series"/>
    <s v="Switch/WS-C3560-48TS-S"/>
    <s v="FDO1202Z4AA"/>
    <s v="00:1E:F7:BD:22:80"/>
    <s v="à verifier"/>
    <s v="48 ports lan, 4SFP GE"/>
    <m/>
    <m/>
    <x v="0"/>
    <m/>
    <n v="1"/>
  </r>
  <r>
    <x v="1"/>
    <s v="Cisco"/>
    <s v="Catalyst 3560 series"/>
    <s v="Switch/WS-C3560-48TS-S"/>
    <s v="CAT0944Z35L"/>
    <s v="00:15:FA:72:44:80"/>
    <s v=" 12.2(37)SE"/>
    <s v="48 ports lan, 4SFP GE"/>
    <s v="32 MB "/>
    <s v="Allumé (et Reset)"/>
    <x v="0"/>
    <m/>
    <n v="1"/>
  </r>
  <r>
    <x v="1"/>
    <s v="Cisco"/>
    <s v="Catalyst 3560 series"/>
    <s v="Switch/WS-C3560-48TS-S"/>
    <s v="CAT1114ZGW0"/>
    <s v="00:1B:8F:BA:88:00"/>
    <s v=" 12.2(55)SE11"/>
    <s v="48 ports lan, 4SFP GE"/>
    <s v="32 MB "/>
    <s v="Allumé (et Reset)"/>
    <x v="0"/>
    <m/>
    <n v="1"/>
  </r>
  <r>
    <x v="1"/>
    <s v="Cisco"/>
    <s v="Catalyst 3560 series"/>
    <m/>
    <s v="FDO1207Y24N"/>
    <s v="00:1F:9D:B8:8D:80"/>
    <s v="12.2(55)SE11"/>
    <s v="48 ports lan, 4SFP GE"/>
    <s v="32 MB "/>
    <s v="Allumé (et Reset)"/>
    <x v="0"/>
    <m/>
    <n v="1"/>
  </r>
  <r>
    <x v="2"/>
    <s v="Cisco"/>
    <s v="ISR 1100"/>
    <s v="C1111-4P"/>
    <s v="FCZ2618R2Y6"/>
    <s v="EC:01:D5:0C:2C:80"/>
    <s v="Cisco IOS XE Software, Version 17.06.05"/>
    <m/>
    <s v="4GB"/>
    <s v="Allumé"/>
    <x v="0"/>
    <m/>
    <n v="0"/>
  </r>
  <r>
    <x v="2"/>
    <s v="Cisco"/>
    <s v="ISR 1100"/>
    <s v="C1111-4P"/>
    <s v="FCZ2618R2YE"/>
    <s v="EC:01:D5:0C:23:80"/>
    <s v="Cisco IOS XE Software, Version 17.06.05"/>
    <s v="GE LAN 4, GE WAN 2, SPF slot"/>
    <s v="4GB"/>
    <s v="Allumé"/>
    <x v="0"/>
    <m/>
    <n v="0"/>
  </r>
  <r>
    <x v="2"/>
    <s v="Cisco"/>
    <s v="ISR 1100"/>
    <s v="C1111-4P"/>
    <s v="FCZ2422C1CC"/>
    <s v=" ac4a.6717.8980"/>
    <s v="Cisco IOS XE Software, Version 17.06.05"/>
    <s v="GE LAN 4, GE WAN 2, SPF slot"/>
    <s v="4GB"/>
    <s v="Allumé "/>
    <x v="0"/>
    <m/>
    <n v="0"/>
  </r>
  <r>
    <x v="2"/>
    <s v="Cisco"/>
    <s v="ISR 1100"/>
    <s v="C1111-4P"/>
    <s v="FCZ2422C1CA"/>
    <s v="AC4A.671C.0800"/>
    <s v="Cisco IOS XE Software, Version 17.06.05"/>
    <m/>
    <m/>
    <s v="Allumé"/>
    <x v="0"/>
    <m/>
    <n v="0"/>
  </r>
  <r>
    <x v="2"/>
    <s v="Cisco"/>
    <s v="ISR 1100"/>
    <s v="C1111-4P"/>
    <s v="FCZ2548R1GU"/>
    <s v="66:87:C6:C2:5B:80"/>
    <s v="Cisco IOS XE Software, Version 17.06.05"/>
    <s v="GE LAN 4, GE WAN 2, SPF slot"/>
    <s v="4GB"/>
    <s v="Allumé"/>
    <x v="0"/>
    <m/>
    <n v="0"/>
  </r>
  <r>
    <x v="2"/>
    <s v="Cisco"/>
    <s v="ISR 1100"/>
    <s v="C1111-4P"/>
    <s v="FCZ2618R2XR"/>
    <s v="EC:01:D5:36:9F:80"/>
    <s v="Cisco IOS XE Software, Version 17.06.05"/>
    <s v="GE LAN 4, GE WAN 2, SPF slot"/>
    <s v="4GB"/>
    <s v="Allumé"/>
    <x v="0"/>
    <m/>
    <n v="0"/>
  </r>
  <r>
    <x v="2"/>
    <s v="Cisco"/>
    <s v="ISR 1100"/>
    <s v="C1111-4P"/>
    <s v="FCZ2548R1FC"/>
    <s v="68:87:C6:D3:73:80"/>
    <s v="Cisco IOS XE Software, Version 17.06.05"/>
    <s v="GE LAN 4, GE WAN 2, SPF slot"/>
    <s v="4GB"/>
    <s v="Allumé"/>
    <x v="0"/>
    <m/>
    <n v="0"/>
  </r>
  <r>
    <x v="2"/>
    <s v="Cisco"/>
    <s v="ISR 1100"/>
    <s v="C1111-4P"/>
    <s v="FCZ242290XU"/>
    <s v="ac4a.671c.3e00"/>
    <s v="Cisco IOS XE Software, Version 17.06.05"/>
    <s v="GE LAN 4, GE WAN 2, SPF slot"/>
    <s v="4GB"/>
    <s v=" "/>
    <x v="0"/>
    <m/>
    <n v="0"/>
  </r>
  <r>
    <x v="2"/>
    <s v="Cisco"/>
    <s v="ISR 1100"/>
    <s v="C1131-8PW2"/>
    <s v="FGL2709L1X6"/>
    <s v="C8:84:A1:F5:95:00"/>
    <m/>
    <m/>
    <m/>
    <m/>
    <x v="0"/>
    <m/>
    <n v="0"/>
  </r>
  <r>
    <x v="2"/>
    <s v="Cisco"/>
    <s v="ISR 1100"/>
    <s v="C1111-4P"/>
    <s v="FCZ242290XQ"/>
    <s v="ac4a.671a.cf80"/>
    <s v="Cisco IOS XE Software, Version 17.06.05"/>
    <s v="GE LAN 4, GE WAN 2, SPF slot"/>
    <s v="4GB"/>
    <s v="Allumé "/>
    <x v="0"/>
    <m/>
    <n v="0"/>
  </r>
  <r>
    <x v="2"/>
    <s v="Cisco"/>
    <s v="ISR 1100"/>
    <s v="C1111-4P"/>
    <s v="FCZ242290XZ"/>
    <s v="/"/>
    <m/>
    <s v="GE LAN 4, GE WAN 2, SPF slot"/>
    <s v="4GB"/>
    <m/>
    <x v="0"/>
    <m/>
    <n v="0"/>
  </r>
  <r>
    <x v="2"/>
    <s v="Cisco"/>
    <s v="ISR 1100"/>
    <s v="C1111-4P"/>
    <s v="FCZ2422C1BY"/>
    <s v="ac4a.6718.2100"/>
    <s v="Cisco IOS XE Software, Version 17.06.05"/>
    <s v="GE LAN 4, GE WAN 2, SPF slot"/>
    <s v="4GB"/>
    <s v="Allumé"/>
    <x v="0"/>
    <m/>
    <n v="0"/>
  </r>
  <r>
    <x v="2"/>
    <s v="Cisco"/>
    <s v="ISR 1100"/>
    <s v="C1111-4P"/>
    <s v="FCZ2525R8S4"/>
    <s v="F0:4A:02:7C:94:80"/>
    <s v="Cisco IOS XE Software, Version 17.06.05"/>
    <s v="GE LAN 4, GE WAN 2, SPF slot"/>
    <s v="4GB"/>
    <s v="Allumé"/>
    <x v="0"/>
    <m/>
    <n v="0"/>
  </r>
  <r>
    <x v="2"/>
    <s v="Cisco"/>
    <s v="ISR 1100"/>
    <s v="C1111-4P"/>
    <s v="FCZ2618R2YA"/>
    <s v="EC:01:D5:0C:29:80"/>
    <s v="Cisco IOS XE Software, Version 17.06.05"/>
    <s v="GE LAN 4, GE WAN 2, SPF slot"/>
    <s v="4GB"/>
    <s v="Allumé"/>
    <x v="0"/>
    <m/>
    <n v="0"/>
  </r>
  <r>
    <x v="2"/>
    <s v="Cisco"/>
    <s v="ISR 1100"/>
    <s v="C1111-4P"/>
    <s v="FCZ2525R8S7"/>
    <s v="f0:4a:02:7c:a4:00"/>
    <s v="Cisco IOS XE Software, Version 17.06.05"/>
    <m/>
    <m/>
    <s v="Allumé"/>
    <x v="0"/>
    <m/>
    <n v="0"/>
  </r>
  <r>
    <x v="2"/>
    <s v="Cisco "/>
    <s v=" ISR4221"/>
    <s v="ISR4221/K9 "/>
    <s v="FGL2402LEAT"/>
    <s v="4ce1.763d.5a30"/>
    <s v="Cisco IOS XE Software, Version 17.06.05"/>
    <s v="2 GigaEthernet, 2Serial, 1 SFP, 1 Console"/>
    <s v="6917 Mo"/>
    <s v="Allumé (et Reset)"/>
    <x v="0"/>
    <m/>
    <n v="1"/>
  </r>
  <r>
    <x v="2"/>
    <s v="Cisco "/>
    <s v=" ISR4221"/>
    <s v="ISR4221/K9 "/>
    <s v="FGL2402LECZ"/>
    <s v="4ce1.75fc.d2b0"/>
    <s v="Cisco IOS XE Software, Version 16.09.04"/>
    <s v="2 GigaEthernet, 2Serial, 1 SFP, 1 Console"/>
    <s v="6917 Mo"/>
    <s v="Allumé (et Reset)"/>
    <x v="0"/>
    <m/>
    <n v="1"/>
  </r>
  <r>
    <x v="2"/>
    <s v="Cisco "/>
    <s v=" ISR4221"/>
    <s v="ISR4221/K9 "/>
    <s v="FGL2402LEDJ"/>
    <s v="4ce1.7638.e720"/>
    <s v="Cisco IOS XE Software, Version 17.06.05"/>
    <s v="2 GigaEthernet, 2Serial, 1 SFP, 1 Console"/>
    <s v="6917 Mo"/>
    <s v="Allumé (et Reset)"/>
    <x v="0"/>
    <m/>
    <n v="1"/>
  </r>
  <r>
    <x v="0"/>
    <s v="Cisco "/>
    <s v="catalyst 1000 series"/>
    <s v="C1000-24T-4G-L "/>
    <s v="FOC2611Y3XY"/>
    <s v="80:6A:00:3D:53:80"/>
    <s v="15.2(7)E7 "/>
    <s v="24 Gigabite en cuivre et 4 Gigabite en uplinks SFP"/>
    <s v="256 Mo"/>
    <s v="Allumé (et Reset)"/>
    <x v="0"/>
    <m/>
    <n v="0"/>
  </r>
  <r>
    <x v="0"/>
    <s v="Cisco "/>
    <s v="catalyst 1000 series"/>
    <s v="C1000-24T-4G-L"/>
    <s v="FOC26101M30"/>
    <s v="80:6A:00:3B:00:80"/>
    <s v="Cisco IOS Software, Version 15.2(7)E7"/>
    <s v="1 Virtual Ethernet interface, 28 Gigabit Ethernet interfaces, 1USB, 1console"/>
    <s v="2GB"/>
    <s v="Allumé (et Reset)"/>
    <x v="1"/>
    <m/>
    <n v="1"/>
  </r>
  <r>
    <x v="0"/>
    <s v="Cisco "/>
    <s v="catalyst 1000 series"/>
    <s v=" C1000-24T-4G-L"/>
    <s v="FOC2817Y56Y"/>
    <s v="B4:4C:90:EE:4A:80"/>
    <s v="Cisco IOS Software, Version 15.2(7)E6  "/>
    <s v="24 Gigabite en cuivre et 4 Gigabite en uplinks SFP"/>
    <s v="256 Mo"/>
    <s v="Allumé (et Reset)"/>
    <x v="1"/>
    <m/>
    <n v="1"/>
  </r>
  <r>
    <x v="0"/>
    <s v="Cisco "/>
    <s v="catalyst 1000 series"/>
    <s v=" C1000-24T-4G-L"/>
    <s v="FOC2611Y3L0"/>
    <s v="80:6A:00:3B:08:80"/>
    <s v="Cisco IOS Software, Version 15.2(7)E5 "/>
    <s v="24 Gigabite en cuivre et 4 Gigabite en uplinks SFP"/>
    <s v="256 Mo"/>
    <s v="Allumé (et Reset)"/>
    <x v="1"/>
    <m/>
    <n v="1"/>
  </r>
  <r>
    <x v="0"/>
    <s v="Cisco "/>
    <s v="Catalyst 2960 plus series"/>
    <s v="Switch/&quot;WS-C2960+24TC-L"/>
    <s v=" FCW2352A1SZ"/>
    <s v=" A4:B4:39:E9:81:80_x000a_"/>
    <s v=" 15.2(2)E8"/>
    <s v="48 ports lan, 4SFP GE"/>
    <s v="64 MB"/>
    <s v="Allumé (et Reset)"/>
    <x v="0"/>
    <m/>
    <n v="0"/>
  </r>
  <r>
    <x v="0"/>
    <s v="Cisco "/>
    <s v="Catalyst 2960 plus series"/>
    <s v="Switch/&quot;WS-C2960+24TC-LB'"/>
    <s v="FOC2308Y0YZ"/>
    <s v=" 2C:73:A0:9E:E6:80_x000a_"/>
    <s v=" Cisco IOS Software, Version 15.2(2)E8"/>
    <s v="48 ports lan, 4SFP GE"/>
    <s v="64 MB"/>
    <s v="Allumé (et Reset)"/>
    <x v="0"/>
    <m/>
    <n v="0"/>
  </r>
  <r>
    <x v="0"/>
    <s v="Cisco "/>
    <s v="Catalyst 2960 plus series"/>
    <s v="Switch/&quot;WS-C2960+24TC-LB'"/>
    <s v="FCW2148A013"/>
    <s v="B4:A8:B9:CF:A5:80"/>
    <s v=" Cisco IOS Software, Version 15.2(2)E7"/>
    <s v="48 ports lan, 4SFP GE"/>
    <s v="64 MB"/>
    <s v="Allumé (et Reset)"/>
    <x v="0"/>
    <m/>
    <n v="0"/>
  </r>
  <r>
    <x v="0"/>
    <s v="Cisco "/>
    <s v="Catalyst 2960 Plus Series "/>
    <s v="WS-C2960+24TC-L "/>
    <s v="FOC2308Y0V5"/>
    <s v="2C:73:A0:9E:4E:00"/>
    <s v="Cisco IOS Software, Version 15.2(2)E8"/>
    <s v="1 Virtual Ethernet interface_x000a_24 FastEthernet interfaces_x000a_2 Gigabit Ethernet interfaces"/>
    <s v="112MB"/>
    <s v="Allumé (et Reset)"/>
    <x v="1"/>
    <m/>
    <n v="1"/>
  </r>
  <r>
    <x v="0"/>
    <s v="Cisco "/>
    <s v="Catalyst 2960 Plus Series "/>
    <s v="WS-C2960+24TC-L"/>
    <s v="FCW2352A1QC"/>
    <s v="A4:B4:39:E8:7E:80"/>
    <s v="Cisco IOS Software, Version 15.2(2)E8"/>
    <s v="1 Virtual Ethernet interface  _x000a_24 FastEthernet interfaces  _x000a_2 Gigabit Ethernet interfaces"/>
    <s v="64MB"/>
    <s v="Allumé (et Reset)"/>
    <x v="1"/>
    <m/>
    <n v="1"/>
  </r>
  <r>
    <x v="0"/>
    <s v="Cisco "/>
    <s v="Catalyst 2960 Plus Series "/>
    <s v=" WS-C2960+24TC-L"/>
    <s v="FOC2308Y0HR_x000a_"/>
    <s v="00:87:64:A6:24:00_x000a_"/>
    <s v=" Cisco IOS XE Software, Version 15.2(2)E8   "/>
    <s v="24 ports Ethernet 10/100 et 2 ports Gigabit Ethernet double connectique SFP et RJ45"/>
    <s v="64MB"/>
    <s v="Allumé (et Reset)"/>
    <x v="1"/>
    <m/>
    <n v="1"/>
  </r>
  <r>
    <x v="0"/>
    <s v="Cisco "/>
    <s v="Catalyst 2960 Plus Series "/>
    <s v=" WS-C2960+24TC-L"/>
    <s v="FOC2308Y0QQ"/>
    <s v="2C:01:B5:B5:39:80"/>
    <s v="Cisco IOS XE Software, Version 15.2(2)E8"/>
    <s v="24 ports Ethernet 10/100 et 2 ports Gigabit Ethernet double connectique SFP et RJ45"/>
    <s v="64MB"/>
    <s v="Allumé (et Reset)"/>
    <x v="1"/>
    <m/>
    <n v="1"/>
  </r>
  <r>
    <x v="0"/>
    <s v="Cisco "/>
    <s v="Catalyst 2960 Series "/>
    <s v="WS-C2960-24TT-L "/>
    <s v="FOC1403V33J"/>
    <s v="EC4476875A80"/>
    <s v="Cisco IOS Software, C2960 Software (C2960-LANBASEK9-M), Version 15.0(2)SE4"/>
    <s v="26 FastEthernet"/>
    <s v="31Mo"/>
    <s v="Allumé (et Reset)"/>
    <x v="1"/>
    <m/>
    <n v="0"/>
  </r>
  <r>
    <x v="1"/>
    <s v="Cisco "/>
    <s v="Catalyst 3650 Series "/>
    <s v="WS-C3650-24TS"/>
    <s v="FDO1913E1SL"/>
    <s v="A4:6C:2A:7A:14:00"/>
    <s v="Cisco IOS XE Software, Version 16.12.8"/>
    <s v="1 Virtual Ethernet interface_x000a_28 Gigabit Ethernet interfaces"/>
    <s v="1.5GB"/>
    <s v="Allumé (et Reset)"/>
    <x v="1"/>
    <m/>
    <n v="1"/>
  </r>
  <r>
    <x v="1"/>
    <s v="Cisco "/>
    <s v="Catalyst 3650 Series "/>
    <s v="WS-C3650-24TS"/>
    <s v="FDO2246E0E7"/>
    <s v="D4:C9:3C:FA:B3:80"/>
    <s v="Cisco IOS XE Software, Version 16.12.08"/>
    <s v="1 USB, 1 Console, 24 GigaEthernet Data, 4 GigaEthernet Uplink_x000a_"/>
    <s v="1.5GB "/>
    <s v="Allumé (et Reset)"/>
    <x v="1"/>
    <m/>
    <n v="1"/>
  </r>
  <r>
    <x v="1"/>
    <s v="Cisco "/>
    <s v="Catalyst 3750 Series P0E-48"/>
    <s v="WS-C3750-48P"/>
    <s v="FDO1130Y0BQ"/>
    <s v="00:07:0E:7B:5A:00"/>
    <s v="Version 12.2(25)SEE3"/>
    <s v="48 ports fa, 2ports fibres, 2 port poe ?"/>
    <s v="15Mo"/>
    <s v="Allumé (et Reset)"/>
    <x v="1"/>
    <m/>
    <n v="0"/>
  </r>
  <r>
    <x v="2"/>
    <s v="Cisco "/>
    <s v="Catalyst 8200 Edge Series"/>
    <s v="C8200-1N-4T"/>
    <s v="FCZ2819R2MU"/>
    <s v="F8C650740480"/>
    <s v="Cisco IOS XE Software, Version 17.09.04a"/>
    <s v="4 Gigabit Ethernet interfaces"/>
    <s v="6,8GB"/>
    <s v="Allumé (et Reset)"/>
    <x v="1"/>
    <m/>
    <n v="1"/>
  </r>
  <r>
    <x v="2"/>
    <s v="Cisco "/>
    <s v="Catalyst 8200 Edge Series"/>
    <s v="C8200-1N-4T"/>
    <s v="FCZ2819R2QB_x000a_"/>
    <s v=" f8c6.5075.77c0 "/>
    <s v="Cisco IOS XE Software 17.6(6r)"/>
    <s v="4 Gigabit Ethernet interfaces"/>
    <s v="7,16 Go"/>
    <s v="Allumé (et Reset)"/>
    <x v="1"/>
    <m/>
    <n v="1"/>
  </r>
  <r>
    <x v="2"/>
    <s v="Cisco "/>
    <s v="Cisco 1800 Series"/>
    <s v="C1841-ADVIPSERVICESK9-M"/>
    <s v="FCZ1414C1JV"/>
    <s v="08:1f:f3:ec:69:74"/>
    <s v="Cisco IOS Software, Version 15.1(3)T4"/>
    <s v="2 FastEthernet interfaces_x000a_2 Serial(sync/async) interfaces_x000a_1 Virtual Private Network (VPN) Module"/>
    <s v="64MB"/>
    <s v="Allumé (et Reset)"/>
    <x v="1"/>
    <m/>
    <n v="1"/>
  </r>
  <r>
    <x v="2"/>
    <s v="Cisco "/>
    <s v="Cisco 1800 Series"/>
    <s v="C1841-ADVIPSERVICESK9-M"/>
    <s v="FCZ1414C1J6"/>
    <s v="28:93:fe:6c:0e:e0 "/>
    <s v="Cisco IOS Software, Version 15.1(3)T4"/>
    <s v="2 FastEthernet interfaces_x000a_2 Low-speed serial(sync/async) interfaces_x000a_1 Virtual Private Network (VPN) Module"/>
    <s v="64MB"/>
    <s v="Allumé (et Reset)"/>
    <x v="1"/>
    <m/>
    <n v="1"/>
  </r>
  <r>
    <x v="2"/>
    <s v="Cisco "/>
    <s v="Cisco 1800 Series "/>
    <s v="C1841-ADVIPSERVICESK9-M"/>
    <s v="FCZ1414C1HU"/>
    <s v="08:1f:f3:28:db:24 "/>
    <s v="Cisco IOS Software, Version 15.1(3)T4"/>
    <s v="2 FastEthernet interfaces_x000a_3 Serial(sync/async) interfaces_x000a_1 Virtual Private Network (VPN) Module"/>
    <s v="64MB"/>
    <s v="Allumé (et Reset)"/>
    <x v="1"/>
    <m/>
    <n v="1"/>
  </r>
  <r>
    <x v="2"/>
    <s v="Cisco "/>
    <s v="Cisco 1900 Series "/>
    <s v="CISCO1941/K9"/>
    <s v="FCZ214840P2 "/>
    <s v="707d.b905.4780 (g0/0)"/>
    <s v="Version 15.0(1r)M16"/>
    <s v="2 Gigabit Ethernet interfaces_x000a_2 Serial(sync/async) interfaces_x000a_1 terminal line_x000a_1 Virtual Private Network (VPN) Module"/>
    <s v="240Mo"/>
    <s v="Allumé (et Reset)"/>
    <x v="1"/>
    <m/>
    <n v="1"/>
  </r>
  <r>
    <x v="2"/>
    <s v="Cisco "/>
    <s v="Cisco 2600 Series "/>
    <s v="Cisco 2611XM"/>
    <s v="JHY0837K14L"/>
    <s v="2C:01:B5:B5:39:80"/>
    <s v=" Cisco IOS µ C2600 Software (C2600-IK9O3S3-M), Version 12.3(22)"/>
    <s v="2 FastEthernet interfaces"/>
    <s v="32MB"/>
    <s v="Allumé (et Reset)"/>
    <x v="1"/>
    <m/>
    <n v="1"/>
  </r>
  <r>
    <x v="2"/>
    <s v="Cisco "/>
    <s v="ISR 4000"/>
    <s v="ISR4221/K9 "/>
    <s v="FGL2652LD2C"/>
    <m/>
    <s v="Cisco IOS XE Software, Version 17.12.02"/>
    <s v="1 console, 2 WAN, 1usb"/>
    <s v="8Go"/>
    <s v="Allumé (et Reset)"/>
    <x v="0"/>
    <m/>
    <n v="1"/>
  </r>
  <r>
    <x v="2"/>
    <s v="Cisco "/>
    <s v="ISR 4000"/>
    <s v="ISR4321/K9"/>
    <s v="FDO2613M223"/>
    <m/>
    <s v="Cisco IOS XE Software, Version 17.06.05"/>
    <s v="1 Management Port, 2 GigaEthernet, 1 SFP, 1 USB Type A, 2 AUX, 1 Console, 1 MicroUSB"/>
    <s v="4GB"/>
    <s v="Allumé (et Reset)"/>
    <x v="0"/>
    <m/>
    <n v="1"/>
  </r>
  <r>
    <x v="2"/>
    <s v="Cisco "/>
    <s v="ISR 4000"/>
    <s v="ISR4321/K9"/>
    <s v="FDO26120FZD"/>
    <s v="6026.aa78.6fe0"/>
    <s v="Cisco IOS XE Software, Version 17.12.03"/>
    <s v="2 Gigabit Ethernet interfaces"/>
    <s v="4GB"/>
    <s v="Allumé (et Reset)"/>
    <x v="1"/>
    <m/>
    <n v="1"/>
  </r>
  <r>
    <x v="2"/>
    <s v="Cisco "/>
    <s v="ISR 4000"/>
    <s v="ISR4321/K9"/>
    <s v="FDO2613M222"/>
    <s v="acbc.d9e8.8aa0"/>
    <s v="Cisco IOS XE Software, Version 17.3.4a"/>
    <s v="2 MGMT, 3 int (GE0/0/0 et GE0/0/1), 1 USB, 2  AUX, 1 console, 1 microUSB"/>
    <s v="4GB"/>
    <s v="Allumé (et Reset)"/>
    <x v="1"/>
    <m/>
    <n v="1"/>
  </r>
  <r>
    <x v="2"/>
    <s v="Cisco "/>
    <s v="ISR 1100"/>
    <s v="C1111-4P"/>
    <s v="FCZ242290XZ"/>
    <s v=" ac3a.67fb.6e80"/>
    <s v="Cisco IOS XE Software, Version 17.06.05"/>
    <s v="GE LAN 4, GE WAN 2, SPF slot"/>
    <s v="4GB"/>
    <s v="Allumé"/>
    <x v="0"/>
    <m/>
    <n v="0"/>
  </r>
  <r>
    <x v="2"/>
    <s v="Cisco"/>
    <s v="ISR 1100X"/>
    <s v=" C1131-8PWE"/>
    <s v=" FGL2709L1X6"/>
    <s v="c884.a1f5.9500  ??"/>
    <s v="Cisco IOS XE Software, Version 17.09.02a_x000a_"/>
    <s v="1 Virtual Ethernet interface_x000a_10 Gigabit Ethernet interfaces_x000a_1 2.5 Gigabit Ethernet interface"/>
    <s v="6917 Mo"/>
    <s v="Allumé (et Reset)"/>
    <x v="0"/>
    <s v="enable secret : Adminclass1"/>
    <n v="1"/>
  </r>
  <r>
    <x v="3"/>
    <s v="Fortinet "/>
    <s v="Fortigate 60E"/>
    <s v="FG-60E"/>
    <s v="FGT60ETK18099PDK"/>
    <s v="e8:1c:ba:4f:70:db"/>
    <s v="FortiGate-60E v7.4.3,build2573,240201 (GA.F)"/>
    <m/>
    <m/>
    <s v="Allumé (et Reset)"/>
    <x v="1"/>
    <s v="Login: admin mdp:admin"/>
    <n v="1"/>
  </r>
  <r>
    <x v="3"/>
    <s v="Fortinet "/>
    <s v="Fortigate 60E"/>
    <s v="FG-60E"/>
    <s v="FGT60ETK1809A3ED"/>
    <s v="e8:1c:ba:75:2c:fb"/>
    <s v="FortiGate-60E v7.4.3,build2573,240201 (GA.F)"/>
    <m/>
    <s v="2GB"/>
    <s v="Allumé (et Reset)"/>
    <x v="1"/>
    <s v="Login: admin mdp:admin"/>
    <n v="1"/>
  </r>
  <r>
    <x v="3"/>
    <s v="Fortinet "/>
    <s v="Fortigate 60E"/>
    <s v="FG-60E"/>
    <s v="FGT60ETK18099P8V"/>
    <s v="e8:1c:ba:4f:6a:9b"/>
    <s v="FortiGate-60E v7.2.4"/>
    <m/>
    <s v="2GB"/>
    <s v="Allumé (et Reset)"/>
    <x v="1"/>
    <s v="Login: admin mdp:admin"/>
    <n v="1"/>
  </r>
  <r>
    <x v="3"/>
    <s v="Fortinet "/>
    <s v="Fortigate 60F"/>
    <s v="FG-60F"/>
    <s v="FGT60FTK2209JGYQ"/>
    <s v="94:f3:92:c0:79:91"/>
    <s v="FortiGate-60F v7.4.1,build2463,230830 (GA.F)"/>
    <m/>
    <m/>
    <s v="Allumé (et Reset)"/>
    <x v="0"/>
    <s v="Login: admin mdp:admin"/>
    <n v="1"/>
  </r>
  <r>
    <x v="3"/>
    <s v="Fortinet "/>
    <s v="Fortigate 60F"/>
    <s v="FG-60F"/>
    <s v="FGT60FTK2209JKEQ"/>
    <s v="94:f3:92:c0:e9:21"/>
    <s v="FortiGate-60F v7.4.3,build2573,240201 (GA.F)"/>
    <m/>
    <m/>
    <s v="Allumé (et Reset)"/>
    <x v="0"/>
    <s v="Login: admin mdp:admin"/>
    <n v="1"/>
  </r>
  <r>
    <x v="3"/>
    <s v="Fortinet "/>
    <s v="Fortigate 60F"/>
    <s v="FG-60F"/>
    <s v="FGT60FTK2209JK89"/>
    <s v="94:f3:92:c0:e0:93"/>
    <s v="FortiGate-60F v7.4.2,build2571,231219 (GA.F)"/>
    <m/>
    <m/>
    <s v="Allumé (et Reset)"/>
    <x v="0"/>
    <s v="Login: admin mdp:admin"/>
    <n v="1"/>
  </r>
  <r>
    <x v="3"/>
    <s v="Fortinet "/>
    <s v="Fortigate 60F"/>
    <s v="FG-60F"/>
    <s v="FGT60FTK2209JK67"/>
    <s v="94:f3:92:c0:dd:d7"/>
    <s v="FortiGate-60F v7.4.2,build2571,231219 (GA.F)"/>
    <m/>
    <m/>
    <s v="Allumé (et Reset)"/>
    <x v="0"/>
    <s v="Login: admin mdp:admin"/>
    <n v="1"/>
  </r>
  <r>
    <x v="3"/>
    <s v="Fortinet "/>
    <s v="Fortigate 60F"/>
    <s v="FG-60F"/>
    <s v="FGT60FTK2209JJD8"/>
    <s v="94:f3:92:c0:ba:05"/>
    <s v="fortiOS , v7.4.3"/>
    <s v="1 USB, 1 Console, 2 GigaEthernet WAN, 1 GigaEthernet DMZ, 2 GigaEthernet FortiLink, 5 GigaEthernet Internal  "/>
    <s v="3662 MB"/>
    <s v="Allumé (et Reset)"/>
    <x v="1"/>
    <s v="Login: admin mdp:admin"/>
    <n v="1"/>
  </r>
  <r>
    <x v="3"/>
    <s v="Fortinet "/>
    <s v="Fortigate 60F"/>
    <s v="FG-60F"/>
    <s v="FGT60FTK2209JK3R"/>
    <s v="94:f3:92:c0:da:8f"/>
    <s v="FortiGate-60F v7.4.2,build2571,231219 (GA.F)"/>
    <m/>
    <m/>
    <s v="Allumé (et Reset)"/>
    <x v="1"/>
    <s v="Login: admin mdp:admin"/>
    <n v="1"/>
  </r>
  <r>
    <x v="3"/>
    <s v="Sophos"/>
    <s v="UTM220 "/>
    <s v="UTM220 rev.5"/>
    <s v="A18069697184C73"/>
    <s v="00:1A:8C:3D:25:F0"/>
    <m/>
    <s v="GE 8 = 1 LAN, 1 WAN, 1 DMZ, 1HA"/>
    <m/>
    <m/>
    <x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43D5F-AE05-4B67-BFDA-ACBC88C11EEB}" name="Tableau croisé dynamique1" cacheId="145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Q1:T7" firstHeaderRow="1" firstDataRow="2" firstDataCol="1"/>
  <pivotFields count="13">
    <pivotField axis="axisRow"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Nombre de Type de materiel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44C6F-E14E-4124-BA52-FB8422939B51}" name="Tableau1" displayName="Tableau1" ref="B1:P69" totalsRowShown="0" headerRowDxfId="16" dataDxfId="15">
  <autoFilter ref="B1:P69" xr:uid="{CEB44C6F-E14E-4124-BA52-FB8422939B51}"/>
  <sortState xmlns:xlrd2="http://schemas.microsoft.com/office/spreadsheetml/2017/richdata2" ref="B2:O65">
    <sortCondition ref="C1:C65"/>
  </sortState>
  <tableColumns count="15">
    <tableColumn id="15" xr3:uid="{65087024-44B0-459C-A815-5E8279E274D4}" name="Type de materiel" dataDxfId="14"/>
    <tableColumn id="2" xr3:uid="{6A7B34F0-EEBC-4A0F-89BF-F8E00A87BAD5}" name="Fabricant" dataDxfId="13"/>
    <tableColumn id="3" xr3:uid="{DC48166F-3A0A-40B9-ABF0-31320D2D8887}" name="Gamme" dataDxfId="12"/>
    <tableColumn id="4" xr3:uid="{A694F18E-9804-41DF-804E-85A5C2692268}" name="Modèle" dataDxfId="11"/>
    <tableColumn id="5" xr3:uid="{562101EA-756B-43E9-A7D1-FFBB700F514F}" name="Numéro de série" dataDxfId="10"/>
    <tableColumn id="6" xr3:uid="{39EF7CAF-14E0-4AAE-A782-9D9A1B193259}" name="Adresse Mac" dataDxfId="9"/>
    <tableColumn id="7" xr3:uid="{BE6682C8-EF77-4259-AEC4-5B49EDB51E8E}" name="Version OS" dataDxfId="8"/>
    <tableColumn id="8" xr3:uid="{5D0651F3-1A06-4103-9C3B-D634364B639C}" name="Port disponibles" dataDxfId="7"/>
    <tableColumn id="9" xr3:uid="{62EF4C7A-2C38-41D1-B80B-185B70F7AC3E}" name="Mémoire Flash" dataDxfId="6"/>
    <tableColumn id="10" xr3:uid="{74E7C704-1145-4841-8A0B-8E738BA17BBF}" name="Statut" dataDxfId="5"/>
    <tableColumn id="11" xr3:uid="{ADAE96E8-BED2-4393-914C-68268970F1B8}" name="Local" dataDxfId="4"/>
    <tableColumn id="14" xr3:uid="{DB6E3454-FE54-4FE1-8910-757E698B3DEC}" name="Identifiants" dataDxfId="3"/>
    <tableColumn id="1" xr3:uid="{B067326B-77E6-4B08-8648-F5A5940E1908}" name="Equipe" dataDxfId="2"/>
    <tableColumn id="12" xr3:uid="{F0C88725-DDA0-4AB4-A3C3-1A0E9FA20D4D}" name="Racké" dataDxfId="1"/>
    <tableColumn id="13" xr3:uid="{0BD7C074-BB1D-493E-A3BD-55A85C833ED6}" name="Nomm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offrey.lejeune@std.heh.b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ulien.magnier@std.heh.b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46"/>
  <sheetViews>
    <sheetView zoomScale="70" workbookViewId="0">
      <pane ySplit="10" topLeftCell="H17" activePane="bottomLeft" state="frozen"/>
      <selection pane="bottomLeft" activeCell="H2" sqref="H2"/>
    </sheetView>
  </sheetViews>
  <sheetFormatPr defaultColWidth="8.85546875" defaultRowHeight="14.45"/>
  <cols>
    <col min="1" max="1" width="11.5703125" customWidth="1"/>
    <col min="2" max="3" width="25.140625" customWidth="1"/>
    <col min="4" max="4" width="25.7109375" customWidth="1"/>
    <col min="5" max="5" width="14.28515625" customWidth="1"/>
    <col min="6" max="6" width="14" customWidth="1"/>
    <col min="7" max="7" width="21.42578125" customWidth="1"/>
    <col min="8" max="9" width="20.42578125" customWidth="1"/>
    <col min="10" max="10" width="16.7109375" customWidth="1"/>
    <col min="11" max="11" width="27.85546875" bestFit="1" customWidth="1"/>
    <col min="12" max="12" width="68.5703125" customWidth="1"/>
    <col min="13" max="13" width="51" customWidth="1"/>
    <col min="14" max="14" width="20.140625" customWidth="1"/>
    <col min="15" max="15" width="33.140625" customWidth="1"/>
    <col min="16" max="16" width="15.140625" customWidth="1"/>
    <col min="17" max="17" width="27.85546875" customWidth="1"/>
    <col min="18" max="18" width="36" customWidth="1"/>
    <col min="19" max="20" width="15.85546875" customWidth="1"/>
    <col min="21" max="21" width="15.5703125" style="1" customWidth="1"/>
  </cols>
  <sheetData>
    <row r="1" spans="1:21">
      <c r="A1" s="150" t="s">
        <v>0</v>
      </c>
      <c r="B1" s="150"/>
      <c r="C1" s="18"/>
      <c r="U1"/>
    </row>
    <row r="2" spans="1:21">
      <c r="U2"/>
    </row>
    <row r="3" spans="1:21">
      <c r="A3" s="2" t="s">
        <v>1</v>
      </c>
      <c r="B3" s="3" t="s">
        <v>2</v>
      </c>
      <c r="C3" s="19"/>
      <c r="E3" s="151" t="s">
        <v>3</v>
      </c>
      <c r="F3" s="151"/>
      <c r="G3" s="12" t="s">
        <v>4</v>
      </c>
      <c r="I3" s="151" t="s">
        <v>5</v>
      </c>
      <c r="J3" s="152"/>
      <c r="K3" s="6" t="s">
        <v>6</v>
      </c>
      <c r="U3"/>
    </row>
    <row r="4" spans="1:21">
      <c r="A4" s="2" t="s">
        <v>7</v>
      </c>
      <c r="B4" s="3" t="s">
        <v>8</v>
      </c>
      <c r="C4" s="19"/>
      <c r="K4" s="6" t="s">
        <v>9</v>
      </c>
      <c r="U4"/>
    </row>
    <row r="5" spans="1:21">
      <c r="A5" s="2" t="s">
        <v>10</v>
      </c>
      <c r="B5" s="4">
        <v>43409</v>
      </c>
      <c r="C5" s="20"/>
      <c r="K5" s="6" t="s">
        <v>11</v>
      </c>
      <c r="U5"/>
    </row>
    <row r="6" spans="1:21">
      <c r="A6" s="2" t="s">
        <v>12</v>
      </c>
      <c r="B6" s="7" t="s">
        <v>13</v>
      </c>
      <c r="C6" s="21"/>
      <c r="U6"/>
    </row>
    <row r="7" spans="1:21">
      <c r="A7" s="2" t="s">
        <v>14</v>
      </c>
      <c r="B7" s="3" t="s">
        <v>15</v>
      </c>
      <c r="C7" s="19"/>
      <c r="U7"/>
    </row>
    <row r="8" spans="1:21">
      <c r="U8"/>
    </row>
    <row r="9" spans="1:21">
      <c r="U9"/>
    </row>
    <row r="10" spans="1:21" s="1" customFormat="1" ht="10.5" customHeight="1">
      <c r="A10" s="17" t="s">
        <v>16</v>
      </c>
      <c r="B10" s="17" t="s">
        <v>17</v>
      </c>
      <c r="C10" s="17" t="s">
        <v>18</v>
      </c>
      <c r="D10" s="5" t="s">
        <v>19</v>
      </c>
      <c r="E10" s="17" t="s">
        <v>20</v>
      </c>
      <c r="F10" s="17" t="s">
        <v>21</v>
      </c>
      <c r="G10" s="17" t="s">
        <v>22</v>
      </c>
      <c r="H10" s="17" t="s">
        <v>23</v>
      </c>
      <c r="I10" s="17" t="s">
        <v>24</v>
      </c>
      <c r="J10" s="17" t="s">
        <v>25</v>
      </c>
      <c r="K10" s="17" t="s">
        <v>26</v>
      </c>
      <c r="L10" s="17" t="s">
        <v>27</v>
      </c>
      <c r="M10" s="17" t="s">
        <v>28</v>
      </c>
      <c r="N10" s="17" t="s">
        <v>29</v>
      </c>
      <c r="O10" s="17" t="s">
        <v>30</v>
      </c>
      <c r="P10" s="17" t="s">
        <v>31</v>
      </c>
      <c r="Q10" s="17" t="s">
        <v>32</v>
      </c>
      <c r="R10" s="17" t="s">
        <v>33</v>
      </c>
      <c r="S10" s="17" t="s">
        <v>34</v>
      </c>
      <c r="T10" s="17" t="s">
        <v>35</v>
      </c>
      <c r="U10" s="17" t="s">
        <v>36</v>
      </c>
    </row>
    <row r="11" spans="1:21" s="9" customFormat="1" hidden="1">
      <c r="A11" s="8" t="s">
        <v>37</v>
      </c>
      <c r="B11" s="8" t="s">
        <v>38</v>
      </c>
      <c r="C11" s="8"/>
      <c r="D11" s="8" t="s">
        <v>39</v>
      </c>
      <c r="E11" s="8" t="s">
        <v>40</v>
      </c>
      <c r="F11" s="8">
        <v>1941</v>
      </c>
      <c r="G11" s="8" t="s">
        <v>41</v>
      </c>
      <c r="H11" s="8" t="s">
        <v>42</v>
      </c>
      <c r="I11" s="8"/>
      <c r="J11" s="8"/>
      <c r="K11" s="8" t="s">
        <v>43</v>
      </c>
      <c r="L11" s="8" t="s">
        <v>44</v>
      </c>
      <c r="M11" s="8" t="s">
        <v>45</v>
      </c>
      <c r="N11" s="8" t="s">
        <v>46</v>
      </c>
      <c r="O11" s="8" t="s">
        <v>47</v>
      </c>
      <c r="P11" s="8"/>
      <c r="Q11" s="8"/>
      <c r="R11" s="8"/>
      <c r="S11" s="8" t="s">
        <v>48</v>
      </c>
      <c r="T11" s="13">
        <v>43409</v>
      </c>
      <c r="U11" s="8" t="s">
        <v>49</v>
      </c>
    </row>
    <row r="12" spans="1:21" s="9" customFormat="1" hidden="1">
      <c r="A12" s="8" t="s">
        <v>37</v>
      </c>
      <c r="B12" s="22" t="s">
        <v>50</v>
      </c>
      <c r="C12" s="8" t="s">
        <v>51</v>
      </c>
      <c r="D12" s="8" t="s">
        <v>39</v>
      </c>
      <c r="E12" s="8" t="s">
        <v>40</v>
      </c>
      <c r="F12" s="8">
        <v>1841</v>
      </c>
      <c r="G12" s="8" t="s">
        <v>52</v>
      </c>
      <c r="H12" s="8" t="s">
        <v>53</v>
      </c>
      <c r="I12" s="8"/>
      <c r="J12" s="8"/>
      <c r="K12" s="8" t="s">
        <v>54</v>
      </c>
      <c r="L12" s="8" t="s">
        <v>55</v>
      </c>
      <c r="M12" s="8" t="s">
        <v>56</v>
      </c>
      <c r="N12" s="8" t="s">
        <v>57</v>
      </c>
      <c r="O12" s="8" t="s">
        <v>58</v>
      </c>
      <c r="P12" s="8"/>
      <c r="Q12" s="8"/>
      <c r="R12" s="8"/>
      <c r="S12" s="8" t="s">
        <v>48</v>
      </c>
      <c r="T12" s="13">
        <v>43409</v>
      </c>
      <c r="U12" s="8" t="s">
        <v>49</v>
      </c>
    </row>
    <row r="13" spans="1:21" s="9" customFormat="1" hidden="1">
      <c r="A13" s="8" t="s">
        <v>37</v>
      </c>
      <c r="B13" s="8" t="s">
        <v>59</v>
      </c>
      <c r="C13" s="8"/>
      <c r="D13" s="8" t="s">
        <v>39</v>
      </c>
      <c r="E13" s="8" t="s">
        <v>40</v>
      </c>
      <c r="F13" s="8">
        <v>1941</v>
      </c>
      <c r="G13" s="8" t="s">
        <v>41</v>
      </c>
      <c r="H13" s="8" t="s">
        <v>60</v>
      </c>
      <c r="I13" s="8"/>
      <c r="J13" s="8"/>
      <c r="K13" s="8" t="s">
        <v>43</v>
      </c>
      <c r="L13" s="8" t="s">
        <v>44</v>
      </c>
      <c r="M13" s="8" t="s">
        <v>45</v>
      </c>
      <c r="N13" s="8" t="s">
        <v>46</v>
      </c>
      <c r="O13" s="8" t="s">
        <v>61</v>
      </c>
      <c r="P13" s="8"/>
      <c r="Q13" s="8"/>
      <c r="R13" s="8"/>
      <c r="S13" s="8" t="s">
        <v>48</v>
      </c>
      <c r="T13" s="13">
        <v>43409</v>
      </c>
      <c r="U13" s="8" t="s">
        <v>49</v>
      </c>
    </row>
    <row r="14" spans="1:21" s="9" customFormat="1" hidden="1">
      <c r="A14" s="8" t="s">
        <v>37</v>
      </c>
      <c r="B14" s="22" t="s">
        <v>62</v>
      </c>
      <c r="C14" s="8" t="s">
        <v>51</v>
      </c>
      <c r="D14" s="8" t="s">
        <v>39</v>
      </c>
      <c r="E14" s="8" t="s">
        <v>40</v>
      </c>
      <c r="F14" s="8">
        <v>1941</v>
      </c>
      <c r="G14" s="8" t="s">
        <v>41</v>
      </c>
      <c r="H14" s="8" t="s">
        <v>63</v>
      </c>
      <c r="I14" s="8"/>
      <c r="J14" s="8"/>
      <c r="K14" s="8" t="s">
        <v>43</v>
      </c>
      <c r="L14" s="8" t="s">
        <v>44</v>
      </c>
      <c r="M14" s="8" t="s">
        <v>45</v>
      </c>
      <c r="N14" s="8" t="s">
        <v>46</v>
      </c>
      <c r="O14" s="8" t="s">
        <v>61</v>
      </c>
      <c r="P14" s="8"/>
      <c r="Q14" s="8"/>
      <c r="R14" s="8"/>
      <c r="S14" s="8" t="s">
        <v>48</v>
      </c>
      <c r="T14" s="13">
        <v>43409</v>
      </c>
      <c r="U14" s="8" t="s">
        <v>49</v>
      </c>
    </row>
    <row r="15" spans="1:21" s="9" customFormat="1" hidden="1">
      <c r="A15" s="8" t="s">
        <v>37</v>
      </c>
      <c r="B15" s="8" t="s">
        <v>64</v>
      </c>
      <c r="C15" s="8"/>
      <c r="D15" s="8" t="s">
        <v>39</v>
      </c>
      <c r="E15" s="8" t="s">
        <v>40</v>
      </c>
      <c r="F15" s="8">
        <v>1841</v>
      </c>
      <c r="G15" s="8" t="s">
        <v>52</v>
      </c>
      <c r="H15" s="8" t="s">
        <v>65</v>
      </c>
      <c r="I15" s="8"/>
      <c r="J15" s="8"/>
      <c r="K15" s="8" t="s">
        <v>54</v>
      </c>
      <c r="L15" s="8" t="s">
        <v>55</v>
      </c>
      <c r="M15" s="8" t="s">
        <v>56</v>
      </c>
      <c r="N15" s="8" t="s">
        <v>57</v>
      </c>
      <c r="O15" s="8" t="s">
        <v>66</v>
      </c>
      <c r="P15" s="8"/>
      <c r="Q15" s="8"/>
      <c r="R15" s="8"/>
      <c r="S15" s="8" t="s">
        <v>48</v>
      </c>
      <c r="T15" s="13">
        <v>43409</v>
      </c>
      <c r="U15" s="8" t="s">
        <v>49</v>
      </c>
    </row>
    <row r="16" spans="1:21" s="9" customFormat="1" hidden="1">
      <c r="A16" s="6" t="s">
        <v>67</v>
      </c>
      <c r="B16" s="22" t="s">
        <v>68</v>
      </c>
      <c r="C16" s="6" t="s">
        <v>51</v>
      </c>
      <c r="D16" s="6" t="s">
        <v>39</v>
      </c>
      <c r="E16" s="6" t="s">
        <v>40</v>
      </c>
      <c r="F16" s="6">
        <v>1841</v>
      </c>
      <c r="G16" s="6" t="s">
        <v>52</v>
      </c>
      <c r="H16" s="16" t="s">
        <v>69</v>
      </c>
      <c r="I16" s="6"/>
      <c r="J16" s="6"/>
      <c r="K16" s="6" t="s">
        <v>70</v>
      </c>
      <c r="L16" s="6" t="s">
        <v>55</v>
      </c>
      <c r="M16" s="6" t="s">
        <v>71</v>
      </c>
      <c r="N16" s="6" t="s">
        <v>57</v>
      </c>
      <c r="O16" s="6" t="s">
        <v>66</v>
      </c>
      <c r="P16" s="6"/>
      <c r="Q16" s="6"/>
      <c r="R16" s="6"/>
      <c r="S16" s="6" t="s">
        <v>48</v>
      </c>
      <c r="T16" s="14">
        <v>43409</v>
      </c>
      <c r="U16" s="6" t="s">
        <v>49</v>
      </c>
    </row>
    <row r="17" spans="1:21" s="9" customFormat="1">
      <c r="A17" s="6" t="s">
        <v>67</v>
      </c>
      <c r="B17" s="6" t="s">
        <v>72</v>
      </c>
      <c r="C17" s="6"/>
      <c r="D17" s="6" t="s">
        <v>73</v>
      </c>
      <c r="E17" s="6" t="s">
        <v>74</v>
      </c>
      <c r="F17" s="6" t="s">
        <v>75</v>
      </c>
      <c r="G17" s="6" t="s">
        <v>76</v>
      </c>
      <c r="H17" s="6" t="s">
        <v>77</v>
      </c>
      <c r="I17" s="6"/>
      <c r="J17" s="6" t="s">
        <v>78</v>
      </c>
      <c r="K17" s="6" t="s">
        <v>79</v>
      </c>
      <c r="L17" s="6" t="s">
        <v>80</v>
      </c>
      <c r="M17" s="6" t="s">
        <v>81</v>
      </c>
      <c r="N17" s="6" t="s">
        <v>82</v>
      </c>
      <c r="O17" s="6" t="s">
        <v>83</v>
      </c>
      <c r="P17" s="6"/>
      <c r="Q17" s="6"/>
      <c r="R17" s="6"/>
      <c r="S17" s="6"/>
      <c r="T17" s="6"/>
      <c r="U17" s="6" t="s">
        <v>49</v>
      </c>
    </row>
    <row r="18" spans="1:21" s="9" customFormat="1" hidden="1">
      <c r="A18" s="6" t="s">
        <v>67</v>
      </c>
      <c r="B18" s="6" t="s">
        <v>84</v>
      </c>
      <c r="C18" s="6"/>
      <c r="D18" s="6" t="s">
        <v>85</v>
      </c>
      <c r="E18" s="6" t="s">
        <v>40</v>
      </c>
      <c r="F18" s="6" t="s">
        <v>86</v>
      </c>
      <c r="G18" s="6" t="s">
        <v>87</v>
      </c>
      <c r="H18" s="6" t="s">
        <v>88</v>
      </c>
      <c r="I18" s="6"/>
      <c r="J18" s="6" t="s">
        <v>89</v>
      </c>
      <c r="K18" s="6" t="s">
        <v>90</v>
      </c>
      <c r="L18" s="6" t="s">
        <v>91</v>
      </c>
      <c r="M18" s="6" t="s">
        <v>92</v>
      </c>
      <c r="N18" s="6" t="s">
        <v>93</v>
      </c>
      <c r="O18" s="6" t="s">
        <v>94</v>
      </c>
      <c r="P18" s="6"/>
      <c r="Q18" s="6"/>
      <c r="R18" s="6"/>
      <c r="S18" s="6" t="s">
        <v>48</v>
      </c>
      <c r="T18" s="14">
        <v>43409</v>
      </c>
      <c r="U18" s="6" t="s">
        <v>49</v>
      </c>
    </row>
    <row r="19" spans="1:21" s="9" customFormat="1" hidden="1">
      <c r="A19" s="6" t="s">
        <v>67</v>
      </c>
      <c r="B19" s="22" t="s">
        <v>95</v>
      </c>
      <c r="C19" s="6" t="s">
        <v>96</v>
      </c>
      <c r="D19" s="6" t="s">
        <v>85</v>
      </c>
      <c r="E19" s="6" t="s">
        <v>40</v>
      </c>
      <c r="F19" s="6" t="s">
        <v>86</v>
      </c>
      <c r="G19" s="6" t="s">
        <v>97</v>
      </c>
      <c r="H19" s="6" t="s">
        <v>98</v>
      </c>
      <c r="I19" s="6"/>
      <c r="J19" s="6" t="s">
        <v>99</v>
      </c>
      <c r="K19" s="6" t="s">
        <v>100</v>
      </c>
      <c r="L19" s="6" t="s">
        <v>91</v>
      </c>
      <c r="M19" s="6" t="s">
        <v>92</v>
      </c>
      <c r="N19" s="6" t="s">
        <v>93</v>
      </c>
      <c r="O19" s="6" t="s">
        <v>94</v>
      </c>
      <c r="P19" s="6"/>
      <c r="Q19" s="6"/>
      <c r="R19" s="6"/>
      <c r="S19" s="6" t="s">
        <v>48</v>
      </c>
      <c r="T19" s="14">
        <v>43409</v>
      </c>
      <c r="U19" s="6" t="s">
        <v>49</v>
      </c>
    </row>
    <row r="20" spans="1:21" s="9" customFormat="1" hidden="1">
      <c r="A20" s="6" t="s">
        <v>67</v>
      </c>
      <c r="B20" s="22" t="s">
        <v>101</v>
      </c>
      <c r="C20" s="6" t="s">
        <v>96</v>
      </c>
      <c r="D20" s="6" t="s">
        <v>102</v>
      </c>
      <c r="E20" s="6" t="s">
        <v>40</v>
      </c>
      <c r="F20" s="6" t="s">
        <v>103</v>
      </c>
      <c r="G20" s="6" t="s">
        <v>104</v>
      </c>
      <c r="H20" s="6" t="s">
        <v>105</v>
      </c>
      <c r="I20" s="6"/>
      <c r="J20" s="6" t="s">
        <v>106</v>
      </c>
      <c r="K20" s="6" t="s">
        <v>107</v>
      </c>
      <c r="L20" s="6" t="s">
        <v>108</v>
      </c>
      <c r="M20" s="6" t="s">
        <v>109</v>
      </c>
      <c r="N20" s="6" t="s">
        <v>93</v>
      </c>
      <c r="O20" s="6" t="s">
        <v>110</v>
      </c>
      <c r="P20" s="6"/>
      <c r="Q20" s="6"/>
      <c r="R20" s="6"/>
      <c r="S20" s="6" t="s">
        <v>48</v>
      </c>
      <c r="T20" s="14">
        <v>43409</v>
      </c>
      <c r="U20" s="6" t="s">
        <v>49</v>
      </c>
    </row>
    <row r="21" spans="1:21" s="9" customFormat="1" hidden="1">
      <c r="A21" s="6" t="s">
        <v>67</v>
      </c>
      <c r="B21" s="6" t="s">
        <v>111</v>
      </c>
      <c r="C21" s="6"/>
      <c r="D21" s="6" t="s">
        <v>102</v>
      </c>
      <c r="E21" s="6" t="s">
        <v>40</v>
      </c>
      <c r="F21" s="6" t="s">
        <v>103</v>
      </c>
      <c r="G21" s="6" t="s">
        <v>104</v>
      </c>
      <c r="H21" s="6" t="s">
        <v>112</v>
      </c>
      <c r="I21" s="6"/>
      <c r="J21" s="6" t="s">
        <v>113</v>
      </c>
      <c r="K21" s="6" t="s">
        <v>107</v>
      </c>
      <c r="L21" s="6" t="s">
        <v>108</v>
      </c>
      <c r="M21" s="6" t="s">
        <v>109</v>
      </c>
      <c r="N21" s="6" t="s">
        <v>93</v>
      </c>
      <c r="O21" s="6" t="s">
        <v>110</v>
      </c>
      <c r="P21" s="6"/>
      <c r="Q21" s="6"/>
      <c r="R21" s="6"/>
      <c r="S21" s="6" t="s">
        <v>48</v>
      </c>
      <c r="T21" s="14">
        <v>43409</v>
      </c>
      <c r="U21" s="6" t="s">
        <v>49</v>
      </c>
    </row>
    <row r="22" spans="1:21" s="9" customFormat="1" hidden="1">
      <c r="A22" s="6" t="s">
        <v>67</v>
      </c>
      <c r="B22" s="6" t="s">
        <v>114</v>
      </c>
      <c r="C22" s="6"/>
      <c r="D22" s="6" t="s">
        <v>115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 t="s">
        <v>49</v>
      </c>
    </row>
    <row r="23" spans="1:21" s="9" customFormat="1" hidden="1">
      <c r="A23" s="6" t="s">
        <v>67</v>
      </c>
      <c r="B23" s="6" t="s">
        <v>116</v>
      </c>
      <c r="C23" s="6"/>
      <c r="D23" s="6" t="s">
        <v>115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 t="s">
        <v>49</v>
      </c>
    </row>
    <row r="24" spans="1:21" s="9" customFormat="1" hidden="1">
      <c r="A24" s="6" t="s">
        <v>67</v>
      </c>
      <c r="B24" s="6"/>
      <c r="C24" s="6"/>
      <c r="D24" s="6" t="s">
        <v>117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 t="s">
        <v>49</v>
      </c>
    </row>
    <row r="25" spans="1:21" s="9" customFormat="1" hidden="1">
      <c r="A25" s="6" t="s">
        <v>67</v>
      </c>
      <c r="B25" s="6"/>
      <c r="C25" s="6"/>
      <c r="D25" s="6" t="s">
        <v>117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 t="s">
        <v>49</v>
      </c>
    </row>
    <row r="26" spans="1:21" s="9" customFormat="1" hidden="1">
      <c r="A26" s="8" t="s">
        <v>118</v>
      </c>
      <c r="B26" s="8" t="s">
        <v>119</v>
      </c>
      <c r="C26" s="8"/>
      <c r="D26" s="8" t="s">
        <v>39</v>
      </c>
      <c r="E26" s="8" t="s">
        <v>40</v>
      </c>
      <c r="F26" s="8">
        <v>2600</v>
      </c>
      <c r="G26" s="8" t="s">
        <v>120</v>
      </c>
      <c r="H26" s="8" t="s">
        <v>121</v>
      </c>
      <c r="I26" s="8"/>
      <c r="J26" s="8" t="s">
        <v>122</v>
      </c>
      <c r="K26" s="8" t="s">
        <v>123</v>
      </c>
      <c r="L26" s="8" t="s">
        <v>124</v>
      </c>
      <c r="M26" s="8" t="s">
        <v>71</v>
      </c>
      <c r="N26" s="8" t="s">
        <v>125</v>
      </c>
      <c r="O26" s="8" t="s">
        <v>126</v>
      </c>
      <c r="P26" s="8"/>
      <c r="Q26" s="8"/>
      <c r="R26" s="8"/>
      <c r="S26" s="8" t="s">
        <v>48</v>
      </c>
      <c r="T26" s="13">
        <v>43409</v>
      </c>
      <c r="U26" s="8" t="s">
        <v>127</v>
      </c>
    </row>
    <row r="27" spans="1:21" s="9" customFormat="1" ht="16.5" customHeight="1">
      <c r="A27" s="8" t="s">
        <v>118</v>
      </c>
      <c r="B27" s="8"/>
      <c r="C27" s="8"/>
      <c r="D27" s="8" t="s">
        <v>73</v>
      </c>
      <c r="E27" s="8" t="s">
        <v>74</v>
      </c>
      <c r="F27" s="8" t="s">
        <v>128</v>
      </c>
      <c r="G27" s="8" t="s">
        <v>129</v>
      </c>
      <c r="H27" s="8" t="s">
        <v>130</v>
      </c>
      <c r="I27" s="8"/>
      <c r="J27" s="8" t="s">
        <v>131</v>
      </c>
      <c r="K27" s="8"/>
      <c r="L27" s="8"/>
      <c r="M27" s="10" t="s">
        <v>132</v>
      </c>
      <c r="N27" s="10" t="s">
        <v>133</v>
      </c>
      <c r="O27" s="10" t="s">
        <v>134</v>
      </c>
      <c r="P27" s="8"/>
      <c r="Q27" s="8"/>
      <c r="R27" s="8"/>
      <c r="S27" s="8"/>
      <c r="T27" s="8"/>
      <c r="U27" s="8" t="s">
        <v>127</v>
      </c>
    </row>
    <row r="28" spans="1:21" s="9" customFormat="1" hidden="1">
      <c r="A28" s="8" t="s">
        <v>118</v>
      </c>
      <c r="B28" s="22" t="s">
        <v>135</v>
      </c>
      <c r="C28" s="8" t="s">
        <v>96</v>
      </c>
      <c r="D28" s="8" t="s">
        <v>85</v>
      </c>
      <c r="E28" s="8" t="s">
        <v>40</v>
      </c>
      <c r="F28" s="8">
        <v>3560</v>
      </c>
      <c r="G28" s="8" t="s">
        <v>97</v>
      </c>
      <c r="H28" s="8" t="s">
        <v>136</v>
      </c>
      <c r="I28" s="8"/>
      <c r="J28" s="8" t="s">
        <v>137</v>
      </c>
      <c r="K28" s="8" t="s">
        <v>100</v>
      </c>
      <c r="L28" s="8" t="s">
        <v>91</v>
      </c>
      <c r="M28" s="8" t="s">
        <v>92</v>
      </c>
      <c r="N28" s="8" t="s">
        <v>138</v>
      </c>
      <c r="O28" s="8" t="s">
        <v>139</v>
      </c>
      <c r="P28" s="8"/>
      <c r="Q28" s="8"/>
      <c r="R28" s="8"/>
      <c r="S28" s="8" t="s">
        <v>48</v>
      </c>
      <c r="T28" s="13">
        <v>43409</v>
      </c>
      <c r="U28" s="8" t="s">
        <v>127</v>
      </c>
    </row>
    <row r="29" spans="1:21" s="9" customFormat="1" hidden="1">
      <c r="A29" s="8" t="s">
        <v>118</v>
      </c>
      <c r="B29" s="22" t="s">
        <v>140</v>
      </c>
      <c r="C29" s="8" t="s">
        <v>96</v>
      </c>
      <c r="D29" s="8" t="s">
        <v>85</v>
      </c>
      <c r="E29" s="8" t="s">
        <v>40</v>
      </c>
      <c r="F29" s="8">
        <v>3560</v>
      </c>
      <c r="G29" s="8" t="s">
        <v>141</v>
      </c>
      <c r="H29" s="8" t="s">
        <v>142</v>
      </c>
      <c r="I29" s="8"/>
      <c r="J29" s="8" t="s">
        <v>143</v>
      </c>
      <c r="K29" s="8" t="s">
        <v>144</v>
      </c>
      <c r="L29" s="8" t="s">
        <v>145</v>
      </c>
      <c r="M29" s="8" t="s">
        <v>92</v>
      </c>
      <c r="N29" s="8" t="s">
        <v>146</v>
      </c>
      <c r="O29" s="8" t="s">
        <v>147</v>
      </c>
      <c r="P29" s="8"/>
      <c r="Q29" s="8"/>
      <c r="R29" s="8"/>
      <c r="S29" s="8" t="s">
        <v>48</v>
      </c>
      <c r="T29" s="13">
        <v>43409</v>
      </c>
      <c r="U29" s="8" t="s">
        <v>127</v>
      </c>
    </row>
    <row r="30" spans="1:21" s="9" customFormat="1" hidden="1">
      <c r="A30" s="8" t="s">
        <v>118</v>
      </c>
      <c r="B30" s="8" t="s">
        <v>148</v>
      </c>
      <c r="C30" s="8"/>
      <c r="D30" s="8" t="s">
        <v>102</v>
      </c>
      <c r="E30" s="8" t="s">
        <v>40</v>
      </c>
      <c r="F30" s="8" t="s">
        <v>149</v>
      </c>
      <c r="G30" s="8" t="s">
        <v>104</v>
      </c>
      <c r="H30" s="8" t="s">
        <v>150</v>
      </c>
      <c r="I30" s="8"/>
      <c r="J30" s="8" t="s">
        <v>151</v>
      </c>
      <c r="K30" s="8" t="s">
        <v>107</v>
      </c>
      <c r="L30" s="8" t="s">
        <v>152</v>
      </c>
      <c r="M30" s="8" t="s">
        <v>109</v>
      </c>
      <c r="N30" s="8" t="s">
        <v>153</v>
      </c>
      <c r="O30" s="8" t="s">
        <v>154</v>
      </c>
      <c r="P30" s="8"/>
      <c r="Q30" s="8"/>
      <c r="R30" s="8"/>
      <c r="S30" s="8" t="s">
        <v>48</v>
      </c>
      <c r="T30" s="13">
        <v>43409</v>
      </c>
      <c r="U30" s="8" t="s">
        <v>127</v>
      </c>
    </row>
    <row r="31" spans="1:21" s="9" customFormat="1" hidden="1">
      <c r="A31" s="8" t="s">
        <v>118</v>
      </c>
      <c r="B31" s="8" t="s">
        <v>155</v>
      </c>
      <c r="C31" s="8"/>
      <c r="D31" s="8" t="s">
        <v>102</v>
      </c>
      <c r="E31" s="8" t="s">
        <v>40</v>
      </c>
      <c r="F31" s="8">
        <v>2950</v>
      </c>
      <c r="G31" s="8" t="s">
        <v>156</v>
      </c>
      <c r="H31" s="8" t="s">
        <v>157</v>
      </c>
      <c r="I31" s="8"/>
      <c r="J31" s="8" t="s">
        <v>158</v>
      </c>
      <c r="K31" s="8" t="s">
        <v>159</v>
      </c>
      <c r="L31" s="8" t="s">
        <v>160</v>
      </c>
      <c r="M31" s="8" t="s">
        <v>161</v>
      </c>
      <c r="N31" s="8" t="s">
        <v>162</v>
      </c>
      <c r="O31" s="8" t="s">
        <v>163</v>
      </c>
      <c r="P31" s="8"/>
      <c r="Q31" s="8"/>
      <c r="R31" s="8"/>
      <c r="S31" s="8" t="s">
        <v>48</v>
      </c>
      <c r="T31" s="13">
        <v>43409</v>
      </c>
      <c r="U31" s="8" t="s">
        <v>127</v>
      </c>
    </row>
    <row r="32" spans="1:21" s="9" customFormat="1" hidden="1">
      <c r="A32" s="8" t="s">
        <v>118</v>
      </c>
      <c r="B32" s="8" t="s">
        <v>164</v>
      </c>
      <c r="C32" s="8"/>
      <c r="D32" s="8" t="s">
        <v>115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 t="s">
        <v>127</v>
      </c>
    </row>
    <row r="33" spans="1:21" s="9" customFormat="1" hidden="1">
      <c r="A33" s="8" t="s">
        <v>118</v>
      </c>
      <c r="B33" s="8" t="s">
        <v>165</v>
      </c>
      <c r="C33" s="8"/>
      <c r="D33" s="8" t="s">
        <v>115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 t="s">
        <v>127</v>
      </c>
    </row>
    <row r="34" spans="1:21" s="9" customFormat="1" hidden="1">
      <c r="A34" s="8" t="s">
        <v>118</v>
      </c>
      <c r="B34" s="8"/>
      <c r="C34" s="8"/>
      <c r="D34" s="8" t="s">
        <v>117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 t="s">
        <v>127</v>
      </c>
    </row>
    <row r="35" spans="1:21" s="9" customFormat="1" hidden="1">
      <c r="A35" s="8" t="s">
        <v>118</v>
      </c>
      <c r="B35" s="8"/>
      <c r="C35" s="8"/>
      <c r="D35" s="8" t="s">
        <v>117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 t="s">
        <v>127</v>
      </c>
    </row>
    <row r="36" spans="1:21" s="9" customFormat="1" hidden="1">
      <c r="A36" s="10" t="s">
        <v>166</v>
      </c>
      <c r="B36" s="22" t="s">
        <v>167</v>
      </c>
      <c r="C36" s="10" t="s">
        <v>51</v>
      </c>
      <c r="D36" s="10" t="s">
        <v>39</v>
      </c>
      <c r="E36" s="10" t="s">
        <v>40</v>
      </c>
      <c r="F36" s="10">
        <v>2600</v>
      </c>
      <c r="G36" s="10">
        <v>2611</v>
      </c>
      <c r="H36" s="10" t="s">
        <v>168</v>
      </c>
      <c r="I36" s="10"/>
      <c r="J36" s="10" t="s">
        <v>169</v>
      </c>
      <c r="K36" s="10" t="s">
        <v>170</v>
      </c>
      <c r="L36" s="10" t="s">
        <v>171</v>
      </c>
      <c r="M36" s="10">
        <v>2</v>
      </c>
      <c r="N36" s="10" t="s">
        <v>172</v>
      </c>
      <c r="O36" s="10" t="s">
        <v>173</v>
      </c>
      <c r="P36" s="10" t="s">
        <v>174</v>
      </c>
      <c r="Q36" s="10"/>
      <c r="R36" s="10"/>
      <c r="S36" s="10" t="s">
        <v>48</v>
      </c>
      <c r="T36" s="15">
        <v>43409</v>
      </c>
      <c r="U36" s="10" t="s">
        <v>175</v>
      </c>
    </row>
    <row r="37" spans="1:21" s="9" customFormat="1">
      <c r="A37" s="10" t="s">
        <v>166</v>
      </c>
      <c r="B37" s="10" t="s">
        <v>176</v>
      </c>
      <c r="C37" s="10"/>
      <c r="D37" s="10" t="s">
        <v>73</v>
      </c>
      <c r="E37" s="10" t="s">
        <v>74</v>
      </c>
      <c r="F37" s="10" t="s">
        <v>128</v>
      </c>
      <c r="G37" s="10" t="s">
        <v>128</v>
      </c>
      <c r="H37" s="10" t="s">
        <v>177</v>
      </c>
      <c r="I37" s="10"/>
      <c r="J37" s="10" t="s">
        <v>178</v>
      </c>
      <c r="K37" s="11" t="s">
        <v>179</v>
      </c>
      <c r="L37" s="10"/>
      <c r="M37" s="10" t="s">
        <v>132</v>
      </c>
      <c r="N37" s="10" t="s">
        <v>133</v>
      </c>
      <c r="O37" s="10" t="s">
        <v>134</v>
      </c>
      <c r="P37" s="10"/>
      <c r="Q37" s="10"/>
      <c r="R37" s="10"/>
      <c r="S37" s="10"/>
      <c r="T37" s="10"/>
      <c r="U37" s="10" t="s">
        <v>175</v>
      </c>
    </row>
    <row r="38" spans="1:21" s="9" customFormat="1" hidden="1">
      <c r="A38" s="10" t="s">
        <v>166</v>
      </c>
      <c r="B38" s="10" t="s">
        <v>180</v>
      </c>
      <c r="C38" s="10"/>
      <c r="D38" s="10" t="s">
        <v>102</v>
      </c>
      <c r="E38" s="10" t="s">
        <v>40</v>
      </c>
      <c r="F38" s="10">
        <v>2950</v>
      </c>
      <c r="G38" s="10" t="s">
        <v>156</v>
      </c>
      <c r="H38" s="10" t="s">
        <v>181</v>
      </c>
      <c r="I38" s="10"/>
      <c r="J38" s="10" t="s">
        <v>182</v>
      </c>
      <c r="K38" s="10" t="s">
        <v>183</v>
      </c>
      <c r="L38" s="10" t="s">
        <v>184</v>
      </c>
      <c r="M38" s="10">
        <v>48</v>
      </c>
      <c r="N38" s="10" t="s">
        <v>185</v>
      </c>
      <c r="O38" s="10" t="s">
        <v>186</v>
      </c>
      <c r="P38" s="10" t="s">
        <v>174</v>
      </c>
      <c r="Q38" s="10" t="s">
        <v>187</v>
      </c>
      <c r="R38" s="10"/>
      <c r="S38" s="10" t="s">
        <v>48</v>
      </c>
      <c r="T38" s="15">
        <v>43409</v>
      </c>
      <c r="U38" s="10" t="s">
        <v>175</v>
      </c>
    </row>
    <row r="39" spans="1:21" s="9" customFormat="1" hidden="1">
      <c r="A39" s="10" t="s">
        <v>166</v>
      </c>
      <c r="B39" s="10" t="s">
        <v>188</v>
      </c>
      <c r="C39" s="10"/>
      <c r="D39" s="10" t="s">
        <v>102</v>
      </c>
      <c r="E39" s="10" t="s">
        <v>40</v>
      </c>
      <c r="F39" s="10">
        <v>2950</v>
      </c>
      <c r="G39" s="10" t="s">
        <v>156</v>
      </c>
      <c r="H39" s="10" t="s">
        <v>189</v>
      </c>
      <c r="I39" s="10"/>
      <c r="J39" s="10" t="s">
        <v>190</v>
      </c>
      <c r="K39" s="10" t="s">
        <v>183</v>
      </c>
      <c r="L39" s="10" t="s">
        <v>184</v>
      </c>
      <c r="M39" s="10">
        <v>48</v>
      </c>
      <c r="N39" s="10" t="s">
        <v>185</v>
      </c>
      <c r="O39" s="10" t="s">
        <v>186</v>
      </c>
      <c r="P39" s="10" t="s">
        <v>174</v>
      </c>
      <c r="Q39" s="10" t="s">
        <v>187</v>
      </c>
      <c r="R39" s="10"/>
      <c r="S39" s="10" t="s">
        <v>48</v>
      </c>
      <c r="T39" s="15">
        <v>43409</v>
      </c>
      <c r="U39" s="10" t="s">
        <v>175</v>
      </c>
    </row>
    <row r="40" spans="1:21" s="9" customFormat="1" hidden="1">
      <c r="A40" s="10" t="s">
        <v>166</v>
      </c>
      <c r="B40" s="10" t="s">
        <v>191</v>
      </c>
      <c r="C40" s="10"/>
      <c r="D40" s="10" t="s">
        <v>115</v>
      </c>
      <c r="E40" s="10" t="s">
        <v>192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 t="s">
        <v>175</v>
      </c>
    </row>
    <row r="41" spans="1:21" s="9" customFormat="1" hidden="1">
      <c r="A41" s="8" t="s">
        <v>193</v>
      </c>
      <c r="B41" s="8" t="s">
        <v>194</v>
      </c>
      <c r="C41" s="8"/>
      <c r="D41" s="8" t="s">
        <v>39</v>
      </c>
      <c r="E41" s="8" t="s">
        <v>40</v>
      </c>
      <c r="F41" s="8" t="s">
        <v>195</v>
      </c>
      <c r="G41" s="8" t="s">
        <v>196</v>
      </c>
      <c r="H41" s="8" t="s">
        <v>197</v>
      </c>
      <c r="I41" s="8" t="s">
        <v>198</v>
      </c>
      <c r="J41" s="8" t="s">
        <v>199</v>
      </c>
      <c r="K41" s="8" t="s">
        <v>200</v>
      </c>
      <c r="L41" s="8" t="s">
        <v>201</v>
      </c>
      <c r="M41" s="8" t="s">
        <v>202</v>
      </c>
      <c r="N41" s="8" t="s">
        <v>203</v>
      </c>
      <c r="O41" s="8" t="s">
        <v>204</v>
      </c>
      <c r="P41" s="8" t="s">
        <v>205</v>
      </c>
      <c r="Q41" s="8" t="s">
        <v>206</v>
      </c>
      <c r="R41" s="8" t="s">
        <v>206</v>
      </c>
      <c r="S41" s="8" t="s">
        <v>48</v>
      </c>
      <c r="T41" s="13">
        <v>43409</v>
      </c>
      <c r="U41" s="8" t="s">
        <v>207</v>
      </c>
    </row>
    <row r="42" spans="1:21" s="9" customFormat="1">
      <c r="A42" s="8" t="s">
        <v>193</v>
      </c>
      <c r="B42" s="8" t="s">
        <v>208</v>
      </c>
      <c r="C42" s="8"/>
      <c r="D42" s="8" t="s">
        <v>73</v>
      </c>
      <c r="E42" s="8" t="s">
        <v>209</v>
      </c>
      <c r="F42" s="8" t="s">
        <v>128</v>
      </c>
      <c r="G42" s="8" t="s">
        <v>129</v>
      </c>
      <c r="H42" s="8" t="s">
        <v>210</v>
      </c>
      <c r="I42" s="8" t="s">
        <v>198</v>
      </c>
      <c r="J42" s="8"/>
      <c r="K42" s="8" t="s">
        <v>211</v>
      </c>
      <c r="L42" s="8"/>
      <c r="M42" s="8" t="s">
        <v>132</v>
      </c>
      <c r="N42" s="8" t="s">
        <v>133</v>
      </c>
      <c r="O42" s="8" t="s">
        <v>134</v>
      </c>
      <c r="P42" s="8"/>
      <c r="Q42" s="8" t="s">
        <v>206</v>
      </c>
      <c r="R42" s="8"/>
      <c r="S42" s="8"/>
      <c r="T42" s="8"/>
      <c r="U42" s="8" t="s">
        <v>207</v>
      </c>
    </row>
    <row r="43" spans="1:21" s="9" customFormat="1" hidden="1">
      <c r="A43" s="8" t="s">
        <v>193</v>
      </c>
      <c r="B43" s="8" t="s">
        <v>212</v>
      </c>
      <c r="C43" s="8"/>
      <c r="D43" s="8" t="s">
        <v>102</v>
      </c>
      <c r="E43" s="8" t="s">
        <v>40</v>
      </c>
      <c r="F43" s="8">
        <v>2950</v>
      </c>
      <c r="G43" s="8" t="s">
        <v>213</v>
      </c>
      <c r="H43" s="8" t="s">
        <v>214</v>
      </c>
      <c r="I43" s="8" t="s">
        <v>215</v>
      </c>
      <c r="J43" s="8" t="s">
        <v>216</v>
      </c>
      <c r="K43" s="8" t="s">
        <v>217</v>
      </c>
      <c r="L43" s="8" t="s">
        <v>218</v>
      </c>
      <c r="M43" s="8" t="s">
        <v>219</v>
      </c>
      <c r="N43" s="8" t="s">
        <v>220</v>
      </c>
      <c r="O43" s="8"/>
      <c r="P43" s="8" t="s">
        <v>221</v>
      </c>
      <c r="Q43" s="8" t="s">
        <v>222</v>
      </c>
      <c r="R43" s="8" t="s">
        <v>206</v>
      </c>
      <c r="S43" s="8" t="s">
        <v>48</v>
      </c>
      <c r="T43" s="13">
        <v>43409</v>
      </c>
      <c r="U43" s="8" t="s">
        <v>207</v>
      </c>
    </row>
    <row r="44" spans="1:21" s="9" customFormat="1" hidden="1">
      <c r="A44" s="8" t="s">
        <v>193</v>
      </c>
      <c r="B44" s="8" t="s">
        <v>223</v>
      </c>
      <c r="C44" s="8"/>
      <c r="D44" s="8" t="s">
        <v>102</v>
      </c>
      <c r="E44" s="8" t="s">
        <v>40</v>
      </c>
      <c r="F44" s="8">
        <v>2950</v>
      </c>
      <c r="G44" s="8" t="s">
        <v>156</v>
      </c>
      <c r="H44" s="8" t="s">
        <v>224</v>
      </c>
      <c r="I44" s="8" t="s">
        <v>198</v>
      </c>
      <c r="J44" s="8" t="s">
        <v>225</v>
      </c>
      <c r="K44" s="8" t="s">
        <v>226</v>
      </c>
      <c r="L44" s="8" t="s">
        <v>227</v>
      </c>
      <c r="M44" s="8" t="s">
        <v>219</v>
      </c>
      <c r="N44" s="8" t="s">
        <v>185</v>
      </c>
      <c r="O44" s="8" t="s">
        <v>186</v>
      </c>
      <c r="P44" s="8" t="s">
        <v>228</v>
      </c>
      <c r="Q44" s="8"/>
      <c r="R44" s="8"/>
      <c r="S44" s="8" t="s">
        <v>48</v>
      </c>
      <c r="T44" s="13">
        <v>43409</v>
      </c>
      <c r="U44" s="8" t="s">
        <v>207</v>
      </c>
    </row>
    <row r="45" spans="1:21" s="9" customFormat="1" hidden="1">
      <c r="A45" s="8" t="s">
        <v>193</v>
      </c>
      <c r="B45" s="8" t="s">
        <v>229</v>
      </c>
      <c r="C45" s="8"/>
      <c r="D45" s="8" t="s">
        <v>230</v>
      </c>
      <c r="E45" s="8" t="s">
        <v>231</v>
      </c>
      <c r="F45" s="8" t="s">
        <v>206</v>
      </c>
      <c r="G45" s="8" t="s">
        <v>232</v>
      </c>
      <c r="H45" s="8" t="s">
        <v>233</v>
      </c>
      <c r="I45" s="8" t="s">
        <v>206</v>
      </c>
      <c r="J45" s="8" t="s">
        <v>234</v>
      </c>
      <c r="K45" s="8" t="s">
        <v>235</v>
      </c>
      <c r="L45" s="8" t="s">
        <v>236</v>
      </c>
      <c r="M45" s="8" t="s">
        <v>237</v>
      </c>
      <c r="N45" s="8" t="s">
        <v>238</v>
      </c>
      <c r="O45" s="8"/>
      <c r="P45" s="8"/>
      <c r="Q45" s="8" t="s">
        <v>206</v>
      </c>
      <c r="R45" s="8" t="s">
        <v>206</v>
      </c>
      <c r="S45" s="8"/>
      <c r="T45" s="8"/>
      <c r="U45" s="8" t="s">
        <v>207</v>
      </c>
    </row>
    <row r="46" spans="1:21" s="9" customFormat="1" hidden="1">
      <c r="A46" s="8" t="s">
        <v>193</v>
      </c>
      <c r="B46" s="8" t="s">
        <v>239</v>
      </c>
      <c r="C46" s="8"/>
      <c r="D46" s="8" t="s">
        <v>115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 t="s">
        <v>207</v>
      </c>
    </row>
    <row r="47" spans="1:21" s="9" customFormat="1" hidden="1">
      <c r="A47" s="8" t="s">
        <v>193</v>
      </c>
      <c r="B47" s="8"/>
      <c r="C47" s="8"/>
      <c r="D47" s="8" t="s">
        <v>117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 t="s">
        <v>207</v>
      </c>
    </row>
    <row r="48" spans="1:21" s="9" customFormat="1" hidden="1">
      <c r="A48" s="8" t="s">
        <v>193</v>
      </c>
      <c r="B48" s="8"/>
      <c r="C48" s="8"/>
      <c r="D48" s="8" t="s">
        <v>117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 t="s">
        <v>207</v>
      </c>
    </row>
    <row r="49" spans="1:21" s="9" customFormat="1" hidden="1">
      <c r="A49" s="10" t="s">
        <v>240</v>
      </c>
      <c r="B49" s="10" t="s">
        <v>241</v>
      </c>
      <c r="C49" s="10"/>
      <c r="D49" s="10" t="s">
        <v>39</v>
      </c>
      <c r="E49" s="10" t="s">
        <v>40</v>
      </c>
      <c r="F49" s="10" t="s">
        <v>195</v>
      </c>
      <c r="G49" s="10" t="s">
        <v>242</v>
      </c>
      <c r="H49" s="10" t="s">
        <v>243</v>
      </c>
      <c r="I49" s="10"/>
      <c r="J49" s="10" t="s">
        <v>244</v>
      </c>
      <c r="K49" s="10" t="s">
        <v>245</v>
      </c>
      <c r="L49" s="10" t="s">
        <v>171</v>
      </c>
      <c r="M49" s="10" t="s">
        <v>246</v>
      </c>
      <c r="N49" s="10" t="s">
        <v>172</v>
      </c>
      <c r="O49" s="10" t="s">
        <v>173</v>
      </c>
      <c r="P49" s="10" t="s">
        <v>246</v>
      </c>
      <c r="Q49" s="10" t="s">
        <v>247</v>
      </c>
      <c r="R49" s="10"/>
      <c r="S49" s="10" t="s">
        <v>48</v>
      </c>
      <c r="T49" s="15">
        <v>43409</v>
      </c>
      <c r="U49" s="10" t="s">
        <v>248</v>
      </c>
    </row>
    <row r="50" spans="1:21" s="9" customFormat="1" ht="29.25" customHeight="1">
      <c r="A50" s="10" t="s">
        <v>240</v>
      </c>
      <c r="B50" s="10" t="s">
        <v>249</v>
      </c>
      <c r="C50" s="10"/>
      <c r="D50" s="10" t="s">
        <v>73</v>
      </c>
      <c r="E50" s="10" t="s">
        <v>74</v>
      </c>
      <c r="F50" s="10" t="s">
        <v>128</v>
      </c>
      <c r="G50" s="10" t="s">
        <v>128</v>
      </c>
      <c r="H50" s="10" t="s">
        <v>250</v>
      </c>
      <c r="I50" s="10"/>
      <c r="J50" s="10" t="s">
        <v>251</v>
      </c>
      <c r="K50" s="6" t="s">
        <v>252</v>
      </c>
      <c r="L50" s="10"/>
      <c r="M50" s="6" t="s">
        <v>132</v>
      </c>
      <c r="N50" s="10" t="s">
        <v>133</v>
      </c>
      <c r="O50" s="10" t="s">
        <v>134</v>
      </c>
      <c r="P50" s="10"/>
      <c r="Q50" s="10"/>
      <c r="R50" s="10"/>
      <c r="S50" s="10" t="s">
        <v>48</v>
      </c>
      <c r="T50" s="15">
        <v>43433</v>
      </c>
      <c r="U50" s="10" t="s">
        <v>248</v>
      </c>
    </row>
    <row r="51" spans="1:21" s="9" customFormat="1" ht="29.25" customHeight="1">
      <c r="A51" s="10" t="s">
        <v>240</v>
      </c>
      <c r="B51" s="10" t="s">
        <v>253</v>
      </c>
      <c r="C51" s="10"/>
      <c r="D51" s="10" t="s">
        <v>102</v>
      </c>
      <c r="E51" s="10" t="s">
        <v>40</v>
      </c>
      <c r="F51" s="10" t="s">
        <v>254</v>
      </c>
      <c r="G51" s="10" t="s">
        <v>255</v>
      </c>
      <c r="H51" s="10" t="s">
        <v>256</v>
      </c>
      <c r="I51" s="10"/>
      <c r="J51" s="10" t="s">
        <v>257</v>
      </c>
      <c r="K51" s="10" t="s">
        <v>258</v>
      </c>
      <c r="L51" s="10" t="s">
        <v>259</v>
      </c>
      <c r="M51" s="6" t="s">
        <v>260</v>
      </c>
      <c r="N51" s="6" t="s">
        <v>185</v>
      </c>
      <c r="O51" s="6" t="s">
        <v>186</v>
      </c>
      <c r="P51" s="10"/>
      <c r="Q51" s="10" t="s">
        <v>247</v>
      </c>
      <c r="R51" s="10"/>
      <c r="S51" s="10" t="s">
        <v>48</v>
      </c>
      <c r="T51" s="15">
        <v>43409</v>
      </c>
      <c r="U51" s="10" t="s">
        <v>261</v>
      </c>
    </row>
    <row r="52" spans="1:21" s="9" customFormat="1" ht="29.25" customHeight="1">
      <c r="A52" s="10" t="s">
        <v>240</v>
      </c>
      <c r="B52" s="10" t="s">
        <v>262</v>
      </c>
      <c r="C52" s="10"/>
      <c r="D52" s="10" t="s">
        <v>102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 t="s">
        <v>48</v>
      </c>
      <c r="T52" s="15">
        <v>43409</v>
      </c>
      <c r="U52" s="10" t="s">
        <v>248</v>
      </c>
    </row>
    <row r="53" spans="1:21" s="9" customFormat="1" ht="30" customHeight="1">
      <c r="A53" s="10" t="s">
        <v>240</v>
      </c>
      <c r="B53" s="10" t="s">
        <v>263</v>
      </c>
      <c r="C53" s="10"/>
      <c r="D53" s="10" t="s">
        <v>115</v>
      </c>
      <c r="E53" s="10" t="s">
        <v>264</v>
      </c>
      <c r="F53" s="10"/>
      <c r="G53" s="10" t="s">
        <v>232</v>
      </c>
      <c r="H53" s="10" t="s">
        <v>265</v>
      </c>
      <c r="I53" s="10"/>
      <c r="J53" s="10" t="s">
        <v>266</v>
      </c>
      <c r="K53" s="10" t="s">
        <v>267</v>
      </c>
      <c r="L53" s="10"/>
      <c r="M53" s="10" t="s">
        <v>268</v>
      </c>
      <c r="N53" s="10" t="s">
        <v>269</v>
      </c>
      <c r="O53" s="10"/>
      <c r="P53" s="10" t="s">
        <v>268</v>
      </c>
      <c r="Q53" s="10"/>
      <c r="R53" s="10"/>
      <c r="S53" s="10" t="s">
        <v>48</v>
      </c>
      <c r="T53" s="15">
        <v>43432</v>
      </c>
      <c r="U53" s="10" t="s">
        <v>261</v>
      </c>
    </row>
    <row r="54" spans="1:21" s="9" customFormat="1" ht="25.5" customHeight="1">
      <c r="A54" s="10" t="s">
        <v>240</v>
      </c>
      <c r="B54" s="10" t="s">
        <v>270</v>
      </c>
      <c r="C54" s="10"/>
      <c r="D54" s="10" t="s">
        <v>115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 t="s">
        <v>248</v>
      </c>
    </row>
    <row r="55" spans="1:21" s="9" customFormat="1" ht="22.5" customHeight="1">
      <c r="A55" s="10" t="s">
        <v>240</v>
      </c>
      <c r="B55" s="10"/>
      <c r="C55" s="10"/>
      <c r="D55" s="10" t="s">
        <v>117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 t="s">
        <v>248</v>
      </c>
    </row>
    <row r="56" spans="1:21" s="9" customFormat="1" ht="42.75" customHeight="1">
      <c r="A56" s="10" t="s">
        <v>240</v>
      </c>
      <c r="B56" s="10"/>
      <c r="C56" s="10"/>
      <c r="D56" s="10" t="s">
        <v>117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 t="s">
        <v>248</v>
      </c>
    </row>
    <row r="57" spans="1:21" s="9" customFormat="1" ht="15" customHeight="1">
      <c r="A57" s="8" t="s">
        <v>271</v>
      </c>
      <c r="B57" s="8" t="s">
        <v>272</v>
      </c>
      <c r="C57" s="8"/>
      <c r="D57" s="8" t="s">
        <v>39</v>
      </c>
      <c r="E57" s="8" t="s">
        <v>40</v>
      </c>
      <c r="F57" s="8">
        <v>2600</v>
      </c>
      <c r="G57" s="8" t="s">
        <v>242</v>
      </c>
      <c r="H57" s="8" t="s">
        <v>273</v>
      </c>
      <c r="I57" s="8" t="s">
        <v>206</v>
      </c>
      <c r="J57" s="8" t="s">
        <v>274</v>
      </c>
      <c r="K57" s="8" t="s">
        <v>275</v>
      </c>
      <c r="L57" s="8" t="s">
        <v>276</v>
      </c>
      <c r="M57" s="8" t="s">
        <v>277</v>
      </c>
      <c r="N57" s="8" t="s">
        <v>278</v>
      </c>
      <c r="O57" s="8" t="s">
        <v>279</v>
      </c>
      <c r="P57" s="8" t="s">
        <v>280</v>
      </c>
      <c r="Q57" s="8" t="s">
        <v>247</v>
      </c>
      <c r="R57" s="8" t="s">
        <v>206</v>
      </c>
      <c r="S57" s="8" t="s">
        <v>48</v>
      </c>
      <c r="T57" s="13">
        <v>43409</v>
      </c>
      <c r="U57" s="8" t="s">
        <v>281</v>
      </c>
    </row>
    <row r="58" spans="1:21" s="9" customFormat="1">
      <c r="A58" s="8" t="s">
        <v>271</v>
      </c>
      <c r="B58" s="8" t="s">
        <v>282</v>
      </c>
      <c r="C58" s="8"/>
      <c r="D58" s="8" t="s">
        <v>73</v>
      </c>
      <c r="E58" s="8" t="s">
        <v>74</v>
      </c>
      <c r="F58" s="8" t="s">
        <v>128</v>
      </c>
      <c r="G58" s="8" t="s">
        <v>128</v>
      </c>
      <c r="H58" s="8" t="s">
        <v>283</v>
      </c>
      <c r="I58" s="8" t="s">
        <v>206</v>
      </c>
      <c r="J58" s="8" t="s">
        <v>284</v>
      </c>
      <c r="K58" s="8" t="s">
        <v>285</v>
      </c>
      <c r="L58" s="8"/>
      <c r="M58" s="8" t="s">
        <v>132</v>
      </c>
      <c r="N58" s="8" t="s">
        <v>133</v>
      </c>
      <c r="O58" s="8" t="s">
        <v>134</v>
      </c>
      <c r="P58" s="8"/>
      <c r="Q58" s="8"/>
      <c r="R58" s="8" t="s">
        <v>206</v>
      </c>
      <c r="S58" s="8"/>
      <c r="T58" s="8"/>
      <c r="U58" s="8" t="s">
        <v>281</v>
      </c>
    </row>
    <row r="59" spans="1:21" s="9" customFormat="1" ht="18" customHeight="1">
      <c r="A59" s="8" t="s">
        <v>271</v>
      </c>
      <c r="B59" s="8" t="s">
        <v>286</v>
      </c>
      <c r="C59" s="8"/>
      <c r="D59" s="8" t="s">
        <v>102</v>
      </c>
      <c r="E59" s="8" t="s">
        <v>40</v>
      </c>
      <c r="F59" s="8">
        <v>2950</v>
      </c>
      <c r="G59" s="8" t="s">
        <v>156</v>
      </c>
      <c r="H59" s="8" t="s">
        <v>287</v>
      </c>
      <c r="I59" s="8" t="s">
        <v>206</v>
      </c>
      <c r="J59" s="8" t="s">
        <v>288</v>
      </c>
      <c r="K59" s="8" t="s">
        <v>289</v>
      </c>
      <c r="L59" s="8" t="s">
        <v>218</v>
      </c>
      <c r="M59" s="8" t="s">
        <v>260</v>
      </c>
      <c r="N59" s="8" t="s">
        <v>290</v>
      </c>
      <c r="O59" s="8" t="s">
        <v>291</v>
      </c>
      <c r="P59" s="8" t="s">
        <v>174</v>
      </c>
      <c r="Q59" s="8" t="s">
        <v>292</v>
      </c>
      <c r="R59" s="8" t="s">
        <v>293</v>
      </c>
      <c r="S59" s="8" t="s">
        <v>48</v>
      </c>
      <c r="T59" s="13">
        <v>43410</v>
      </c>
      <c r="U59" s="8" t="s">
        <v>281</v>
      </c>
    </row>
    <row r="60" spans="1:21" s="9" customFormat="1" ht="14.25" customHeight="1">
      <c r="A60" s="8" t="s">
        <v>271</v>
      </c>
      <c r="B60" s="8" t="s">
        <v>294</v>
      </c>
      <c r="C60" s="8"/>
      <c r="D60" s="8" t="s">
        <v>102</v>
      </c>
      <c r="E60" s="8" t="s">
        <v>40</v>
      </c>
      <c r="F60" s="8">
        <v>2950</v>
      </c>
      <c r="G60" s="8" t="s">
        <v>156</v>
      </c>
      <c r="H60" s="8" t="s">
        <v>295</v>
      </c>
      <c r="I60" s="8" t="s">
        <v>206</v>
      </c>
      <c r="J60" s="8" t="s">
        <v>296</v>
      </c>
      <c r="K60" s="8" t="s">
        <v>289</v>
      </c>
      <c r="L60" s="8" t="s">
        <v>218</v>
      </c>
      <c r="M60" s="8" t="s">
        <v>260</v>
      </c>
      <c r="N60" s="8"/>
      <c r="O60" s="8"/>
      <c r="P60" s="8" t="s">
        <v>174</v>
      </c>
      <c r="Q60" s="8"/>
      <c r="R60" s="8" t="s">
        <v>206</v>
      </c>
      <c r="S60" s="8" t="s">
        <v>48</v>
      </c>
      <c r="T60" s="13">
        <v>43409</v>
      </c>
      <c r="U60" s="8" t="s">
        <v>281</v>
      </c>
    </row>
    <row r="61" spans="1:21" s="9" customFormat="1" ht="15" customHeight="1">
      <c r="A61" s="8" t="s">
        <v>271</v>
      </c>
      <c r="B61" s="8" t="s">
        <v>297</v>
      </c>
      <c r="C61" s="8"/>
      <c r="D61" s="8" t="s">
        <v>230</v>
      </c>
      <c r="E61" s="8" t="s">
        <v>231</v>
      </c>
      <c r="F61" s="8" t="s">
        <v>206</v>
      </c>
      <c r="G61" s="8" t="s">
        <v>232</v>
      </c>
      <c r="H61" s="8" t="s">
        <v>298</v>
      </c>
      <c r="I61" s="8" t="s">
        <v>206</v>
      </c>
      <c r="J61" s="8" t="s">
        <v>234</v>
      </c>
      <c r="K61" s="8" t="s">
        <v>235</v>
      </c>
      <c r="L61" s="8" t="s">
        <v>236</v>
      </c>
      <c r="M61" s="8" t="s">
        <v>237</v>
      </c>
      <c r="N61" s="8" t="s">
        <v>238</v>
      </c>
      <c r="O61" s="8"/>
      <c r="P61" s="8"/>
      <c r="Q61" s="8" t="s">
        <v>206</v>
      </c>
      <c r="R61" s="8" t="s">
        <v>206</v>
      </c>
      <c r="S61" s="8"/>
      <c r="T61" s="8"/>
      <c r="U61" s="8" t="s">
        <v>281</v>
      </c>
    </row>
    <row r="62" spans="1:21" s="9" customFormat="1" ht="18.75" customHeight="1">
      <c r="A62" s="8" t="s">
        <v>271</v>
      </c>
      <c r="B62" s="8" t="s">
        <v>299</v>
      </c>
      <c r="C62" s="8"/>
      <c r="D62" s="8" t="s">
        <v>115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 t="s">
        <v>281</v>
      </c>
    </row>
    <row r="63" spans="1:21" s="9" customFormat="1" ht="19.5" customHeight="1">
      <c r="A63" s="8" t="s">
        <v>271</v>
      </c>
      <c r="B63" s="8"/>
      <c r="C63" s="8"/>
      <c r="D63" s="8" t="s">
        <v>117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 t="s">
        <v>281</v>
      </c>
    </row>
    <row r="64" spans="1:21" s="9" customFormat="1" ht="10.5" customHeight="1">
      <c r="A64" s="8" t="s">
        <v>271</v>
      </c>
      <c r="B64" s="8"/>
      <c r="C64" s="8"/>
      <c r="D64" s="8" t="s">
        <v>117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 t="s">
        <v>281</v>
      </c>
    </row>
    <row r="65" spans="1:26" s="9" customFormat="1"/>
    <row r="66" spans="1:26" s="9" customFormat="1">
      <c r="C66" s="9" t="s">
        <v>300</v>
      </c>
      <c r="D66" s="9" t="s">
        <v>301</v>
      </c>
      <c r="E66" s="9" t="s">
        <v>40</v>
      </c>
      <c r="F66" s="9">
        <v>4300</v>
      </c>
      <c r="G66" s="9">
        <v>4321</v>
      </c>
      <c r="H66" s="9" t="s">
        <v>302</v>
      </c>
      <c r="I66" s="9" t="s">
        <v>206</v>
      </c>
      <c r="M66" s="9" t="s">
        <v>303</v>
      </c>
    </row>
    <row r="67" spans="1:26" s="9" customFormat="1">
      <c r="C67" s="9" t="s">
        <v>51</v>
      </c>
      <c r="D67" s="9" t="s">
        <v>301</v>
      </c>
      <c r="E67" s="9" t="s">
        <v>40</v>
      </c>
      <c r="F67" s="9">
        <v>4300</v>
      </c>
      <c r="G67" s="9">
        <v>4321</v>
      </c>
      <c r="H67" s="9" t="s">
        <v>304</v>
      </c>
      <c r="I67" s="9" t="s">
        <v>206</v>
      </c>
      <c r="M67" s="9" t="s">
        <v>305</v>
      </c>
    </row>
    <row r="68" spans="1:26" s="9" customFormat="1">
      <c r="C68" s="9" t="s">
        <v>51</v>
      </c>
      <c r="D68" s="9" t="s">
        <v>301</v>
      </c>
      <c r="E68" s="9" t="s">
        <v>40</v>
      </c>
      <c r="F68" s="9">
        <v>4300</v>
      </c>
      <c r="G68" s="9">
        <v>4321</v>
      </c>
      <c r="H68" s="9" t="s">
        <v>306</v>
      </c>
      <c r="I68" s="9" t="s">
        <v>206</v>
      </c>
      <c r="M68" s="9" t="s">
        <v>307</v>
      </c>
    </row>
    <row r="69" spans="1:26" s="9" customFormat="1">
      <c r="C69" s="9" t="s">
        <v>51</v>
      </c>
      <c r="D69" s="9" t="s">
        <v>301</v>
      </c>
      <c r="E69" s="9" t="s">
        <v>40</v>
      </c>
      <c r="F69" s="9">
        <v>4200</v>
      </c>
      <c r="G69" s="9">
        <v>4221</v>
      </c>
      <c r="H69" s="9" t="s">
        <v>306</v>
      </c>
      <c r="I69" s="9" t="s">
        <v>206</v>
      </c>
      <c r="M69" s="23" t="s">
        <v>308</v>
      </c>
    </row>
    <row r="70" spans="1:26" s="9" customFormat="1"/>
    <row r="71" spans="1:26" s="9" customFormat="1">
      <c r="C71" s="9" t="s">
        <v>51</v>
      </c>
      <c r="D71" s="9" t="s">
        <v>85</v>
      </c>
      <c r="E71" s="9" t="s">
        <v>40</v>
      </c>
      <c r="F71" s="9">
        <v>3750</v>
      </c>
      <c r="G71" s="9" t="s">
        <v>309</v>
      </c>
      <c r="H71" s="9" t="s">
        <v>310</v>
      </c>
      <c r="M71" s="9" t="s">
        <v>311</v>
      </c>
    </row>
    <row r="72" spans="1:26" s="9" customFormat="1">
      <c r="B72" s="9" t="s">
        <v>312</v>
      </c>
      <c r="C72" s="9" t="s">
        <v>300</v>
      </c>
      <c r="D72" s="9" t="s">
        <v>85</v>
      </c>
      <c r="E72" s="9" t="s">
        <v>40</v>
      </c>
      <c r="F72" s="9" t="s">
        <v>313</v>
      </c>
      <c r="G72" s="9" t="s">
        <v>314</v>
      </c>
      <c r="H72" s="9" t="s">
        <v>315</v>
      </c>
      <c r="I72" s="9" t="s">
        <v>206</v>
      </c>
      <c r="J72" s="9" t="s">
        <v>316</v>
      </c>
      <c r="K72" s="9" t="s">
        <v>317</v>
      </c>
      <c r="L72" s="9" t="s">
        <v>318</v>
      </c>
      <c r="M72" s="9" t="s">
        <v>319</v>
      </c>
      <c r="U72" s="9" t="s">
        <v>320</v>
      </c>
    </row>
    <row r="73" spans="1:26" s="9" customFormat="1">
      <c r="C73" s="9" t="s">
        <v>51</v>
      </c>
      <c r="D73" s="9" t="s">
        <v>85</v>
      </c>
      <c r="E73" s="9" t="s">
        <v>40</v>
      </c>
      <c r="F73" s="9">
        <v>2960</v>
      </c>
      <c r="H73" s="9" t="s">
        <v>321</v>
      </c>
      <c r="M73" s="9" t="s">
        <v>322</v>
      </c>
    </row>
    <row r="74" spans="1:26">
      <c r="A74" s="24"/>
      <c r="B74" s="24"/>
      <c r="C74" s="24" t="s">
        <v>323</v>
      </c>
      <c r="D74" s="24" t="s">
        <v>85</v>
      </c>
      <c r="E74" s="24" t="s">
        <v>40</v>
      </c>
      <c r="F74" s="24" t="s">
        <v>313</v>
      </c>
      <c r="G74" s="24"/>
      <c r="H74" s="24" t="s">
        <v>324</v>
      </c>
      <c r="I74" s="24"/>
      <c r="J74" s="24"/>
      <c r="K74" s="24"/>
      <c r="L74" s="24"/>
      <c r="M74" s="24" t="s">
        <v>319</v>
      </c>
      <c r="N74" s="24"/>
      <c r="O74" s="24"/>
      <c r="P74" s="24"/>
      <c r="Q74" s="24"/>
      <c r="R74" s="24"/>
      <c r="S74" s="24"/>
      <c r="T74" s="24"/>
      <c r="U74" s="9"/>
      <c r="V74" s="24"/>
      <c r="W74" s="24"/>
      <c r="X74" s="24"/>
      <c r="Y74" s="24"/>
      <c r="Z74" s="24"/>
    </row>
    <row r="75" spans="1:26" s="9" customFormat="1">
      <c r="C75" s="9" t="s">
        <v>51</v>
      </c>
      <c r="D75" s="9" t="s">
        <v>85</v>
      </c>
      <c r="E75" s="9" t="s">
        <v>40</v>
      </c>
      <c r="F75" s="9">
        <v>2960</v>
      </c>
      <c r="H75" s="9" t="s">
        <v>325</v>
      </c>
      <c r="M75" s="9" t="s">
        <v>326</v>
      </c>
    </row>
    <row r="76" spans="1:26" s="9" customFormat="1">
      <c r="C76" s="9" t="s">
        <v>51</v>
      </c>
      <c r="D76" s="25" t="s">
        <v>85</v>
      </c>
      <c r="E76" s="9" t="s">
        <v>40</v>
      </c>
      <c r="F76" s="9">
        <v>2960</v>
      </c>
      <c r="H76" s="9" t="s">
        <v>327</v>
      </c>
      <c r="M76" s="9" t="s">
        <v>326</v>
      </c>
    </row>
    <row r="77" spans="1:26" s="9" customFormat="1">
      <c r="C77" s="9" t="s">
        <v>328</v>
      </c>
      <c r="D77" s="9" t="s">
        <v>329</v>
      </c>
      <c r="E77" s="9" t="s">
        <v>40</v>
      </c>
      <c r="F77" s="9">
        <v>800</v>
      </c>
      <c r="G77" s="9">
        <v>831</v>
      </c>
      <c r="H77" s="9" t="s">
        <v>330</v>
      </c>
      <c r="I77" s="9" t="s">
        <v>206</v>
      </c>
      <c r="M77" s="9" t="s">
        <v>331</v>
      </c>
    </row>
    <row r="78" spans="1:26" s="9" customFormat="1">
      <c r="C78" s="9" t="s">
        <v>328</v>
      </c>
      <c r="D78" s="9" t="s">
        <v>329</v>
      </c>
      <c r="E78" s="9" t="s">
        <v>40</v>
      </c>
      <c r="F78" s="9">
        <v>800</v>
      </c>
      <c r="G78" s="9">
        <v>831</v>
      </c>
      <c r="H78" s="9" t="s">
        <v>332</v>
      </c>
      <c r="M78" s="9" t="s">
        <v>331</v>
      </c>
    </row>
    <row r="79" spans="1:26" s="9" customFormat="1">
      <c r="C79" s="9" t="s">
        <v>328</v>
      </c>
      <c r="D79" s="9" t="s">
        <v>329</v>
      </c>
      <c r="E79" s="9" t="s">
        <v>40</v>
      </c>
      <c r="F79" s="9">
        <v>800</v>
      </c>
      <c r="G79" s="9">
        <v>870</v>
      </c>
      <c r="H79" s="9" t="s">
        <v>333</v>
      </c>
      <c r="M79" s="9" t="s">
        <v>334</v>
      </c>
    </row>
    <row r="80" spans="1:26" s="9" customFormat="1">
      <c r="C80" s="9" t="s">
        <v>328</v>
      </c>
      <c r="D80" s="9" t="s">
        <v>329</v>
      </c>
      <c r="E80" s="9" t="s">
        <v>40</v>
      </c>
      <c r="F80" s="9">
        <v>4200</v>
      </c>
      <c r="G80" s="9">
        <v>4221</v>
      </c>
      <c r="H80" s="9" t="s">
        <v>335</v>
      </c>
      <c r="M80" s="9" t="s">
        <v>336</v>
      </c>
    </row>
    <row r="81" spans="2:21" s="9" customFormat="1">
      <c r="C81" s="9" t="s">
        <v>328</v>
      </c>
      <c r="D81" s="9" t="s">
        <v>337</v>
      </c>
      <c r="E81" s="9" t="s">
        <v>209</v>
      </c>
      <c r="F81" s="9" t="s">
        <v>128</v>
      </c>
      <c r="G81" s="9" t="s">
        <v>129</v>
      </c>
      <c r="H81" s="9" t="s">
        <v>338</v>
      </c>
      <c r="M81" s="9" t="s">
        <v>339</v>
      </c>
    </row>
    <row r="82" spans="2:21" s="9" customFormat="1">
      <c r="C82" s="9" t="s">
        <v>328</v>
      </c>
      <c r="D82" s="9" t="s">
        <v>340</v>
      </c>
      <c r="E82" s="9" t="s">
        <v>209</v>
      </c>
      <c r="F82" s="9" t="s">
        <v>75</v>
      </c>
      <c r="G82" s="9" t="s">
        <v>76</v>
      </c>
      <c r="H82" s="9" t="s">
        <v>77</v>
      </c>
      <c r="M82" s="9" t="s">
        <v>341</v>
      </c>
    </row>
    <row r="83" spans="2:21" s="9" customFormat="1">
      <c r="C83" s="9" t="s">
        <v>328</v>
      </c>
      <c r="D83" s="9" t="s">
        <v>102</v>
      </c>
      <c r="E83" s="9" t="s">
        <v>40</v>
      </c>
      <c r="F83" s="9" t="s">
        <v>342</v>
      </c>
      <c r="G83" s="9" t="s">
        <v>314</v>
      </c>
      <c r="H83" s="9" t="s">
        <v>343</v>
      </c>
      <c r="M83" s="9" t="s">
        <v>344</v>
      </c>
    </row>
    <row r="84" spans="2:21" s="9" customFormat="1">
      <c r="C84" s="9" t="s">
        <v>328</v>
      </c>
      <c r="D84" s="9" t="s">
        <v>102</v>
      </c>
      <c r="E84" s="9" t="s">
        <v>40</v>
      </c>
      <c r="F84" s="9">
        <v>1000</v>
      </c>
      <c r="G84" s="26" t="s">
        <v>345</v>
      </c>
      <c r="H84" s="9" t="s">
        <v>346</v>
      </c>
      <c r="M84" s="9" t="s">
        <v>347</v>
      </c>
    </row>
    <row r="85" spans="2:21" s="9" customFormat="1">
      <c r="C85" s="9" t="s">
        <v>328</v>
      </c>
      <c r="D85" s="9" t="s">
        <v>74</v>
      </c>
      <c r="E85" s="9" t="s">
        <v>209</v>
      </c>
      <c r="F85" s="9" t="s">
        <v>128</v>
      </c>
      <c r="G85" s="9" t="s">
        <v>129</v>
      </c>
      <c r="H85" s="9" t="s">
        <v>177</v>
      </c>
      <c r="M85" s="9" t="s">
        <v>348</v>
      </c>
    </row>
    <row r="86" spans="2:21" s="9" customFormat="1">
      <c r="B86" s="9" t="s">
        <v>349</v>
      </c>
      <c r="C86" s="9" t="s">
        <v>328</v>
      </c>
      <c r="D86" s="9" t="s">
        <v>74</v>
      </c>
      <c r="E86" s="9" t="s">
        <v>209</v>
      </c>
      <c r="F86" s="9" t="s">
        <v>128</v>
      </c>
      <c r="G86" s="9" t="s">
        <v>129</v>
      </c>
      <c r="H86" s="9" t="s">
        <v>250</v>
      </c>
      <c r="M86" s="9" t="s">
        <v>348</v>
      </c>
    </row>
    <row r="87" spans="2:21" s="9" customFormat="1">
      <c r="C87" s="9" t="s">
        <v>328</v>
      </c>
      <c r="D87" s="9" t="s">
        <v>74</v>
      </c>
      <c r="E87" s="9" t="s">
        <v>209</v>
      </c>
      <c r="F87" s="9" t="s">
        <v>128</v>
      </c>
      <c r="G87" s="9" t="s">
        <v>129</v>
      </c>
      <c r="H87" s="9" t="s">
        <v>130</v>
      </c>
      <c r="M87" s="9" t="s">
        <v>348</v>
      </c>
    </row>
    <row r="88" spans="2:21" s="9" customFormat="1">
      <c r="C88" s="9" t="s">
        <v>328</v>
      </c>
      <c r="D88" s="9" t="s">
        <v>102</v>
      </c>
      <c r="E88" s="9" t="s">
        <v>40</v>
      </c>
      <c r="F88" s="9">
        <v>1000</v>
      </c>
      <c r="G88" s="26" t="s">
        <v>345</v>
      </c>
      <c r="H88" s="9" t="s">
        <v>350</v>
      </c>
      <c r="M88" s="9" t="s">
        <v>347</v>
      </c>
    </row>
    <row r="89" spans="2:21" s="9" customFormat="1">
      <c r="C89" s="9" t="s">
        <v>328</v>
      </c>
      <c r="D89" s="9" t="s">
        <v>74</v>
      </c>
      <c r="E89" s="9" t="s">
        <v>209</v>
      </c>
      <c r="F89" s="9" t="s">
        <v>128</v>
      </c>
      <c r="G89" s="9" t="s">
        <v>129</v>
      </c>
      <c r="H89" s="9" t="s">
        <v>210</v>
      </c>
      <c r="M89" s="9" t="s">
        <v>348</v>
      </c>
      <c r="U89" s="9" t="s">
        <v>351</v>
      </c>
    </row>
    <row r="90" spans="2:21" s="9" customFormat="1">
      <c r="C90" s="9" t="s">
        <v>328</v>
      </c>
    </row>
    <row r="91" spans="2:21" s="9" customFormat="1">
      <c r="C91" s="9" t="s">
        <v>328</v>
      </c>
      <c r="D91" s="9" t="s">
        <v>329</v>
      </c>
      <c r="E91" s="9" t="s">
        <v>40</v>
      </c>
      <c r="F91" s="9">
        <v>4200</v>
      </c>
      <c r="G91" s="9">
        <v>4221</v>
      </c>
      <c r="H91" s="9" t="s">
        <v>352</v>
      </c>
      <c r="M91" s="9" t="s">
        <v>353</v>
      </c>
    </row>
    <row r="92" spans="2:21" s="9" customFormat="1">
      <c r="C92" s="9" t="s">
        <v>300</v>
      </c>
      <c r="D92" s="9" t="s">
        <v>102</v>
      </c>
      <c r="E92" s="9" t="s">
        <v>40</v>
      </c>
      <c r="F92" s="9" t="s">
        <v>342</v>
      </c>
      <c r="G92" s="9" t="s">
        <v>314</v>
      </c>
      <c r="H92" s="9" t="s">
        <v>354</v>
      </c>
      <c r="M92" s="9" t="s">
        <v>344</v>
      </c>
    </row>
    <row r="93" spans="2:21" s="9" customFormat="1">
      <c r="C93" s="9" t="s">
        <v>51</v>
      </c>
      <c r="D93" s="9" t="s">
        <v>74</v>
      </c>
      <c r="E93" s="9" t="s">
        <v>209</v>
      </c>
      <c r="F93" s="9" t="s">
        <v>355</v>
      </c>
      <c r="G93" s="9" t="s">
        <v>356</v>
      </c>
      <c r="M93" s="9" t="s">
        <v>357</v>
      </c>
    </row>
    <row r="94" spans="2:21" s="9" customFormat="1">
      <c r="C94" s="9" t="s">
        <v>328</v>
      </c>
      <c r="D94" s="9" t="s">
        <v>329</v>
      </c>
      <c r="E94" s="9" t="s">
        <v>40</v>
      </c>
      <c r="F94" s="9">
        <v>4300</v>
      </c>
      <c r="G94" s="9">
        <v>4321</v>
      </c>
      <c r="H94" s="9" t="s">
        <v>358</v>
      </c>
      <c r="M94" s="9" t="s">
        <v>359</v>
      </c>
    </row>
    <row r="95" spans="2:21" s="9" customFormat="1">
      <c r="C95" s="9" t="s">
        <v>300</v>
      </c>
      <c r="D95" s="9" t="s">
        <v>329</v>
      </c>
      <c r="E95" s="9" t="s">
        <v>40</v>
      </c>
      <c r="F95" s="9">
        <v>2600</v>
      </c>
      <c r="G95" s="9" t="s">
        <v>120</v>
      </c>
      <c r="H95" s="9" t="s">
        <v>360</v>
      </c>
      <c r="M95" s="9" t="s">
        <v>361</v>
      </c>
    </row>
    <row r="96" spans="2:21" s="9" customFormat="1">
      <c r="C96" s="9" t="s">
        <v>300</v>
      </c>
      <c r="D96" s="9" t="s">
        <v>362</v>
      </c>
      <c r="E96" s="9" t="s">
        <v>40</v>
      </c>
      <c r="F96" s="9" t="s">
        <v>342</v>
      </c>
      <c r="G96" s="9" t="s">
        <v>314</v>
      </c>
      <c r="H96" s="9" t="s">
        <v>150</v>
      </c>
      <c r="M96" s="9" t="s">
        <v>344</v>
      </c>
    </row>
    <row r="97" spans="3:13" s="9" customFormat="1">
      <c r="C97" s="9" t="s">
        <v>328</v>
      </c>
      <c r="D97" s="9" t="s">
        <v>362</v>
      </c>
      <c r="E97" s="9" t="s">
        <v>40</v>
      </c>
      <c r="F97" s="9">
        <v>2960</v>
      </c>
      <c r="G97" s="27" t="s">
        <v>363</v>
      </c>
      <c r="H97" s="27" t="s">
        <v>364</v>
      </c>
      <c r="M97" s="9" t="s">
        <v>365</v>
      </c>
    </row>
    <row r="98" spans="3:13" s="9" customFormat="1">
      <c r="C98" s="9" t="s">
        <v>300</v>
      </c>
      <c r="D98" s="9" t="s">
        <v>366</v>
      </c>
      <c r="E98" s="9" t="s">
        <v>40</v>
      </c>
      <c r="F98" s="9">
        <v>2600</v>
      </c>
      <c r="G98" s="28" t="s">
        <v>120</v>
      </c>
      <c r="H98" s="28" t="s">
        <v>306</v>
      </c>
      <c r="M98" s="9" t="s">
        <v>367</v>
      </c>
    </row>
    <row r="99" spans="3:13" s="9" customFormat="1">
      <c r="C99" s="9" t="s">
        <v>328</v>
      </c>
      <c r="D99" s="9" t="s">
        <v>102</v>
      </c>
      <c r="E99" s="9" t="s">
        <v>40</v>
      </c>
      <c r="F99" s="9">
        <v>1000</v>
      </c>
      <c r="G99" s="9" t="s">
        <v>368</v>
      </c>
      <c r="H99" s="9" t="s">
        <v>369</v>
      </c>
      <c r="M99" s="9" t="s">
        <v>347</v>
      </c>
    </row>
    <row r="100" spans="3:13" s="9" customFormat="1">
      <c r="C100" s="9" t="s">
        <v>300</v>
      </c>
      <c r="D100" s="9" t="s">
        <v>102</v>
      </c>
      <c r="E100" s="9" t="s">
        <v>40</v>
      </c>
      <c r="F100" s="9" t="s">
        <v>342</v>
      </c>
      <c r="G100" s="9" t="s">
        <v>314</v>
      </c>
      <c r="H100" s="9" t="s">
        <v>112</v>
      </c>
      <c r="M100" s="9" t="s">
        <v>344</v>
      </c>
    </row>
    <row r="101" spans="3:13" s="9" customFormat="1">
      <c r="C101" s="9" t="s">
        <v>328</v>
      </c>
      <c r="D101" s="9" t="s">
        <v>74</v>
      </c>
      <c r="E101" s="9" t="s">
        <v>209</v>
      </c>
      <c r="F101" s="9" t="s">
        <v>128</v>
      </c>
      <c r="G101" s="9" t="s">
        <v>129</v>
      </c>
      <c r="H101" s="9" t="s">
        <v>370</v>
      </c>
    </row>
    <row r="102" spans="3:13" s="9" customFormat="1">
      <c r="C102" s="9" t="s">
        <v>328</v>
      </c>
      <c r="D102" s="9" t="s">
        <v>329</v>
      </c>
      <c r="E102" s="9" t="s">
        <v>40</v>
      </c>
      <c r="F102" s="9">
        <v>1800</v>
      </c>
      <c r="G102" s="9">
        <v>1841</v>
      </c>
      <c r="H102" s="9" t="s">
        <v>371</v>
      </c>
      <c r="M102" s="9" t="s">
        <v>372</v>
      </c>
    </row>
    <row r="103" spans="3:13" s="9" customFormat="1">
      <c r="M103" s="9" t="s">
        <v>373</v>
      </c>
    </row>
    <row r="104" spans="3:13" s="9" customFormat="1"/>
    <row r="105" spans="3:13" s="9" customFormat="1">
      <c r="C105" s="9" t="s">
        <v>328</v>
      </c>
      <c r="D105" s="9" t="s">
        <v>374</v>
      </c>
      <c r="E105" s="9" t="s">
        <v>206</v>
      </c>
      <c r="F105" s="9">
        <v>10</v>
      </c>
      <c r="G105" s="9" t="s">
        <v>375</v>
      </c>
      <c r="H105" s="9" t="s">
        <v>206</v>
      </c>
    </row>
    <row r="106" spans="3:13" s="9" customFormat="1">
      <c r="D106" s="9" t="s">
        <v>376</v>
      </c>
      <c r="E106" s="9" t="s">
        <v>206</v>
      </c>
      <c r="G106" s="9" t="s">
        <v>206</v>
      </c>
      <c r="H106" s="9" t="s">
        <v>206</v>
      </c>
    </row>
    <row r="107" spans="3:13" s="9" customFormat="1">
      <c r="C107" s="9" t="s">
        <v>96</v>
      </c>
      <c r="D107" s="9" t="s">
        <v>366</v>
      </c>
      <c r="E107" s="9" t="s">
        <v>40</v>
      </c>
      <c r="F107" s="9">
        <v>2600</v>
      </c>
      <c r="G107" s="9">
        <v>2610</v>
      </c>
      <c r="H107" s="9" t="s">
        <v>206</v>
      </c>
      <c r="M107" s="9" t="s">
        <v>377</v>
      </c>
    </row>
    <row r="108" spans="3:13" s="9" customFormat="1">
      <c r="C108" s="9" t="s">
        <v>96</v>
      </c>
      <c r="D108" s="9" t="s">
        <v>301</v>
      </c>
      <c r="E108" s="9" t="s">
        <v>40</v>
      </c>
      <c r="F108" s="9">
        <v>2600</v>
      </c>
      <c r="G108" s="9">
        <v>2611</v>
      </c>
      <c r="H108" s="9" t="s">
        <v>378</v>
      </c>
      <c r="M108" s="9" t="s">
        <v>379</v>
      </c>
    </row>
    <row r="109" spans="3:13" s="9" customFormat="1">
      <c r="C109" s="9" t="s">
        <v>96</v>
      </c>
      <c r="D109" s="9" t="s">
        <v>85</v>
      </c>
      <c r="E109" s="9" t="s">
        <v>40</v>
      </c>
      <c r="F109" s="9">
        <v>3560</v>
      </c>
      <c r="G109" s="9" t="s">
        <v>380</v>
      </c>
      <c r="H109" s="9" t="s">
        <v>381</v>
      </c>
      <c r="M109" s="9" t="s">
        <v>382</v>
      </c>
    </row>
    <row r="110" spans="3:13" s="9" customFormat="1">
      <c r="C110" s="9" t="s">
        <v>96</v>
      </c>
      <c r="D110" s="9" t="s">
        <v>85</v>
      </c>
      <c r="E110" s="9" t="s">
        <v>40</v>
      </c>
      <c r="F110" s="9">
        <v>2960</v>
      </c>
      <c r="G110" s="9" t="s">
        <v>383</v>
      </c>
      <c r="H110" s="9" t="s">
        <v>384</v>
      </c>
      <c r="M110" s="9" t="s">
        <v>319</v>
      </c>
    </row>
    <row r="111" spans="3:13" s="9" customFormat="1">
      <c r="C111" s="9" t="s">
        <v>96</v>
      </c>
      <c r="D111" s="9" t="s">
        <v>366</v>
      </c>
      <c r="E111" s="9" t="s">
        <v>40</v>
      </c>
      <c r="F111" s="9" t="s">
        <v>385</v>
      </c>
      <c r="G111" s="9" t="s">
        <v>386</v>
      </c>
      <c r="H111" s="9" t="s">
        <v>206</v>
      </c>
      <c r="M111" s="9" t="s">
        <v>387</v>
      </c>
    </row>
    <row r="112" spans="3:13" s="9" customFormat="1">
      <c r="C112" s="9" t="s">
        <v>96</v>
      </c>
      <c r="D112" s="9" t="s">
        <v>366</v>
      </c>
      <c r="E112" s="9" t="s">
        <v>40</v>
      </c>
      <c r="F112" s="9" t="s">
        <v>388</v>
      </c>
      <c r="G112" s="9" t="s">
        <v>389</v>
      </c>
      <c r="H112" s="9">
        <v>88808350491</v>
      </c>
      <c r="M112" s="9" t="s">
        <v>390</v>
      </c>
    </row>
    <row r="113" spans="3:21" s="9" customFormat="1">
      <c r="C113" s="9" t="s">
        <v>96</v>
      </c>
      <c r="D113" s="9" t="s">
        <v>366</v>
      </c>
      <c r="E113" s="9" t="s">
        <v>40</v>
      </c>
      <c r="F113" s="9">
        <v>2600</v>
      </c>
      <c r="G113" s="9">
        <v>2611</v>
      </c>
      <c r="H113" s="9" t="s">
        <v>391</v>
      </c>
      <c r="M113" s="9" t="s">
        <v>392</v>
      </c>
      <c r="U113" s="9">
        <v>2</v>
      </c>
    </row>
    <row r="114" spans="3:21" s="9" customFormat="1">
      <c r="C114" s="9" t="s">
        <v>96</v>
      </c>
      <c r="D114" s="9" t="s">
        <v>85</v>
      </c>
      <c r="E114" s="9" t="s">
        <v>40</v>
      </c>
      <c r="F114" s="9">
        <v>2960</v>
      </c>
      <c r="G114" s="9">
        <v>2960</v>
      </c>
      <c r="H114" s="9" t="s">
        <v>393</v>
      </c>
      <c r="K114" s="9" t="s">
        <v>394</v>
      </c>
      <c r="M114" s="9" t="s">
        <v>395</v>
      </c>
    </row>
    <row r="115" spans="3:21" s="9" customFormat="1">
      <c r="C115" s="9" t="s">
        <v>96</v>
      </c>
      <c r="D115" s="9" t="s">
        <v>396</v>
      </c>
      <c r="E115" s="9" t="s">
        <v>40</v>
      </c>
      <c r="F115" s="9" t="s">
        <v>397</v>
      </c>
      <c r="G115" s="9" t="s">
        <v>398</v>
      </c>
      <c r="H115" s="9" t="s">
        <v>399</v>
      </c>
      <c r="J115" s="9" t="s">
        <v>400</v>
      </c>
      <c r="M115" s="9" t="s">
        <v>401</v>
      </c>
    </row>
    <row r="116" spans="3:21" s="9" customFormat="1">
      <c r="C116" s="9" t="s">
        <v>96</v>
      </c>
      <c r="D116" s="9" t="s">
        <v>396</v>
      </c>
      <c r="E116" s="9" t="s">
        <v>40</v>
      </c>
      <c r="F116" s="9" t="s">
        <v>402</v>
      </c>
      <c r="G116" s="9" t="s">
        <v>398</v>
      </c>
      <c r="H116" s="9" t="s">
        <v>403</v>
      </c>
      <c r="J116" s="9" t="s">
        <v>404</v>
      </c>
      <c r="M116" s="9" t="s">
        <v>405</v>
      </c>
    </row>
    <row r="117" spans="3:21" s="9" customFormat="1">
      <c r="C117" s="9" t="s">
        <v>96</v>
      </c>
      <c r="D117" s="9" t="s">
        <v>366</v>
      </c>
      <c r="E117" s="9" t="s">
        <v>40</v>
      </c>
      <c r="F117" s="9">
        <v>3620</v>
      </c>
      <c r="G117" s="9" t="s">
        <v>206</v>
      </c>
      <c r="H117" s="9" t="s">
        <v>206</v>
      </c>
      <c r="M117" s="9" t="s">
        <v>406</v>
      </c>
    </row>
    <row r="118" spans="3:21" s="9" customFormat="1">
      <c r="C118" s="9" t="s">
        <v>96</v>
      </c>
      <c r="D118" s="9" t="s">
        <v>407</v>
      </c>
      <c r="E118" s="9" t="s">
        <v>40</v>
      </c>
      <c r="F118" s="9">
        <v>2500</v>
      </c>
      <c r="G118" s="9">
        <v>2504</v>
      </c>
      <c r="H118" s="9" t="s">
        <v>408</v>
      </c>
      <c r="M118" s="9" t="s">
        <v>409</v>
      </c>
    </row>
    <row r="119" spans="3:21" s="9" customFormat="1">
      <c r="C119" s="9" t="s">
        <v>96</v>
      </c>
      <c r="D119" s="9" t="s">
        <v>396</v>
      </c>
      <c r="E119" s="9" t="s">
        <v>40</v>
      </c>
      <c r="F119" s="9" t="s">
        <v>402</v>
      </c>
      <c r="G119" s="9" t="s">
        <v>410</v>
      </c>
      <c r="H119" s="9" t="s">
        <v>411</v>
      </c>
      <c r="M119" s="9" t="s">
        <v>405</v>
      </c>
    </row>
    <row r="120" spans="3:21" s="9" customFormat="1">
      <c r="C120" s="9" t="s">
        <v>96</v>
      </c>
      <c r="D120" s="9" t="s">
        <v>412</v>
      </c>
      <c r="E120" s="9" t="s">
        <v>413</v>
      </c>
      <c r="F120" s="9" t="s">
        <v>414</v>
      </c>
      <c r="G120" s="9" t="s">
        <v>415</v>
      </c>
      <c r="H120" s="9" t="s">
        <v>416</v>
      </c>
      <c r="M120" s="9" t="s">
        <v>417</v>
      </c>
    </row>
    <row r="121" spans="3:21" s="9" customFormat="1">
      <c r="C121" s="9" t="s">
        <v>96</v>
      </c>
      <c r="D121" s="9" t="s">
        <v>366</v>
      </c>
      <c r="E121" s="9" t="s">
        <v>40</v>
      </c>
      <c r="F121" s="9">
        <v>2600</v>
      </c>
      <c r="G121" s="9">
        <v>2611</v>
      </c>
      <c r="H121" s="9" t="s">
        <v>418</v>
      </c>
      <c r="M121" s="9" t="s">
        <v>419</v>
      </c>
    </row>
    <row r="122" spans="3:21" s="9" customFormat="1">
      <c r="C122" s="9" t="s">
        <v>96</v>
      </c>
      <c r="D122" s="9" t="s">
        <v>85</v>
      </c>
      <c r="E122" s="9" t="s">
        <v>40</v>
      </c>
      <c r="F122" s="9">
        <v>3750</v>
      </c>
      <c r="G122" s="9" t="s">
        <v>420</v>
      </c>
      <c r="H122" s="9" t="s">
        <v>421</v>
      </c>
      <c r="M122" s="9" t="s">
        <v>422</v>
      </c>
    </row>
    <row r="123" spans="3:21" s="9" customFormat="1">
      <c r="C123" s="9" t="s">
        <v>96</v>
      </c>
      <c r="D123" s="29" t="s">
        <v>85</v>
      </c>
      <c r="E123" s="9" t="s">
        <v>40</v>
      </c>
      <c r="F123" s="9">
        <v>3750</v>
      </c>
      <c r="G123" s="9" t="s">
        <v>420</v>
      </c>
      <c r="H123" s="9" t="s">
        <v>423</v>
      </c>
      <c r="M123" s="9" t="s">
        <v>422</v>
      </c>
    </row>
    <row r="124" spans="3:21" s="9" customFormat="1">
      <c r="C124" s="9" t="s">
        <v>96</v>
      </c>
      <c r="D124" s="9" t="s">
        <v>85</v>
      </c>
      <c r="E124" s="9" t="s">
        <v>40</v>
      </c>
      <c r="F124" s="9">
        <v>3560</v>
      </c>
      <c r="G124" s="9" t="s">
        <v>424</v>
      </c>
      <c r="H124" s="9" t="s">
        <v>425</v>
      </c>
      <c r="M124" s="9" t="s">
        <v>426</v>
      </c>
    </row>
    <row r="125" spans="3:21" s="9" customFormat="1">
      <c r="C125" s="9" t="s">
        <v>96</v>
      </c>
      <c r="D125" s="9" t="s">
        <v>366</v>
      </c>
      <c r="E125" s="9" t="s">
        <v>40</v>
      </c>
      <c r="F125" s="9">
        <v>2600</v>
      </c>
      <c r="G125" s="9">
        <v>2611</v>
      </c>
      <c r="H125" s="9" t="s">
        <v>427</v>
      </c>
      <c r="M125" s="9" t="s">
        <v>428</v>
      </c>
    </row>
    <row r="126" spans="3:21" s="9" customFormat="1">
      <c r="C126" s="9" t="s">
        <v>96</v>
      </c>
      <c r="D126" s="9" t="s">
        <v>366</v>
      </c>
      <c r="E126" s="9" t="s">
        <v>40</v>
      </c>
      <c r="F126" s="9" t="s">
        <v>429</v>
      </c>
      <c r="G126" s="9" t="s">
        <v>430</v>
      </c>
      <c r="H126" s="9" t="s">
        <v>431</v>
      </c>
      <c r="M126" s="9" t="s">
        <v>432</v>
      </c>
    </row>
    <row r="127" spans="3:21" s="9" customFormat="1">
      <c r="C127" s="9" t="s">
        <v>96</v>
      </c>
      <c r="D127" s="9" t="s">
        <v>433</v>
      </c>
      <c r="E127" s="9" t="s">
        <v>40</v>
      </c>
      <c r="F127" s="9">
        <v>3560</v>
      </c>
      <c r="G127" s="9" t="s">
        <v>434</v>
      </c>
      <c r="H127" s="9" t="s">
        <v>435</v>
      </c>
      <c r="K127" s="9" t="s">
        <v>436</v>
      </c>
      <c r="M127" s="9" t="s">
        <v>426</v>
      </c>
    </row>
    <row r="128" spans="3:21" s="9" customFormat="1">
      <c r="C128" s="9" t="s">
        <v>96</v>
      </c>
      <c r="D128" s="9" t="s">
        <v>366</v>
      </c>
      <c r="E128" s="9" t="s">
        <v>40</v>
      </c>
      <c r="F128" s="9" t="s">
        <v>437</v>
      </c>
      <c r="G128" s="9" t="s">
        <v>120</v>
      </c>
      <c r="M128" s="9" t="s">
        <v>432</v>
      </c>
    </row>
    <row r="129" spans="3:13" s="9" customFormat="1">
      <c r="C129" s="9" t="s">
        <v>96</v>
      </c>
      <c r="D129" s="9" t="s">
        <v>85</v>
      </c>
      <c r="E129" s="9" t="s">
        <v>40</v>
      </c>
      <c r="F129" s="9" t="s">
        <v>438</v>
      </c>
      <c r="G129" s="9" t="s">
        <v>438</v>
      </c>
      <c r="M129" s="9" t="s">
        <v>439</v>
      </c>
    </row>
    <row r="130" spans="3:13" s="9" customFormat="1">
      <c r="C130" s="9" t="s">
        <v>96</v>
      </c>
      <c r="D130" s="9" t="s">
        <v>85</v>
      </c>
      <c r="E130" s="9" t="s">
        <v>40</v>
      </c>
      <c r="F130" s="9">
        <v>3560</v>
      </c>
      <c r="G130" s="9" t="s">
        <v>440</v>
      </c>
      <c r="H130" s="9" t="s">
        <v>441</v>
      </c>
      <c r="K130" s="9" t="s">
        <v>442</v>
      </c>
      <c r="M130" s="9" t="s">
        <v>426</v>
      </c>
    </row>
    <row r="131" spans="3:13" s="9" customFormat="1">
      <c r="C131" s="9" t="s">
        <v>96</v>
      </c>
      <c r="D131" s="9" t="s">
        <v>85</v>
      </c>
      <c r="E131" s="9" t="s">
        <v>40</v>
      </c>
      <c r="F131" s="9">
        <v>3750</v>
      </c>
      <c r="G131" s="9" t="s">
        <v>420</v>
      </c>
      <c r="H131" s="9" t="s">
        <v>443</v>
      </c>
      <c r="M131" s="9" t="s">
        <v>422</v>
      </c>
    </row>
    <row r="132" spans="3:13" s="9" customFormat="1">
      <c r="C132" s="9" t="s">
        <v>96</v>
      </c>
      <c r="D132" s="9" t="s">
        <v>85</v>
      </c>
      <c r="E132" s="9" t="s">
        <v>40</v>
      </c>
      <c r="F132" s="9" t="s">
        <v>380</v>
      </c>
      <c r="G132" s="9" t="s">
        <v>444</v>
      </c>
      <c r="H132" s="9" t="s">
        <v>445</v>
      </c>
      <c r="K132" s="9" t="s">
        <v>446</v>
      </c>
      <c r="M132" s="9" t="s">
        <v>447</v>
      </c>
    </row>
    <row r="133" spans="3:13" s="9" customFormat="1">
      <c r="C133" s="9" t="s">
        <v>96</v>
      </c>
      <c r="D133" s="29" t="s">
        <v>85</v>
      </c>
      <c r="E133" s="9" t="s">
        <v>40</v>
      </c>
      <c r="F133" s="9" t="s">
        <v>380</v>
      </c>
      <c r="G133" s="9" t="s">
        <v>444</v>
      </c>
      <c r="H133" s="9" t="s">
        <v>448</v>
      </c>
      <c r="K133" s="9" t="s">
        <v>449</v>
      </c>
      <c r="M133" s="9" t="s">
        <v>447</v>
      </c>
    </row>
    <row r="134" spans="3:13" s="9" customFormat="1">
      <c r="C134" s="9" t="s">
        <v>96</v>
      </c>
      <c r="D134" s="9" t="s">
        <v>366</v>
      </c>
      <c r="E134" s="9" t="s">
        <v>40</v>
      </c>
      <c r="F134" s="9" t="s">
        <v>429</v>
      </c>
      <c r="G134" s="9" t="s">
        <v>450</v>
      </c>
      <c r="H134" s="9" t="s">
        <v>451</v>
      </c>
      <c r="M134" s="9" t="s">
        <v>452</v>
      </c>
    </row>
    <row r="135" spans="3:13" s="9" customFormat="1">
      <c r="C135" s="9" t="s">
        <v>96</v>
      </c>
      <c r="D135" s="9" t="s">
        <v>85</v>
      </c>
      <c r="E135" s="9" t="s">
        <v>40</v>
      </c>
      <c r="F135" s="9">
        <v>2960</v>
      </c>
      <c r="G135" s="9" t="s">
        <v>453</v>
      </c>
      <c r="H135" s="9" t="s">
        <v>454</v>
      </c>
      <c r="M135" s="9" t="s">
        <v>455</v>
      </c>
    </row>
    <row r="136" spans="3:13" s="9" customFormat="1">
      <c r="C136" s="9" t="s">
        <v>96</v>
      </c>
      <c r="D136" s="9" t="s">
        <v>85</v>
      </c>
      <c r="E136" s="9" t="s">
        <v>40</v>
      </c>
      <c r="F136" s="9" t="s">
        <v>313</v>
      </c>
      <c r="G136" s="9" t="s">
        <v>456</v>
      </c>
      <c r="H136" s="9" t="s">
        <v>457</v>
      </c>
      <c r="K136" s="9" t="s">
        <v>458</v>
      </c>
      <c r="M136" s="9" t="s">
        <v>459</v>
      </c>
    </row>
    <row r="137" spans="3:13" s="9" customFormat="1">
      <c r="C137" s="9" t="s">
        <v>96</v>
      </c>
      <c r="D137" s="9" t="s">
        <v>460</v>
      </c>
      <c r="E137" s="9" t="s">
        <v>40</v>
      </c>
      <c r="F137" s="9">
        <v>3560</v>
      </c>
      <c r="G137" s="9" t="s">
        <v>434</v>
      </c>
      <c r="H137" s="9" t="s">
        <v>461</v>
      </c>
      <c r="K137" s="9" t="s">
        <v>436</v>
      </c>
      <c r="L137" s="9" t="s">
        <v>462</v>
      </c>
      <c r="M137" s="9" t="s">
        <v>426</v>
      </c>
    </row>
    <row r="138" spans="3:13" s="9" customFormat="1"/>
    <row r="139" spans="3:13" s="9" customFormat="1"/>
    <row r="140" spans="3:13" s="9" customFormat="1">
      <c r="D140" s="9" t="s">
        <v>463</v>
      </c>
      <c r="E140" s="9" t="s">
        <v>464</v>
      </c>
      <c r="F140" s="9" t="s">
        <v>465</v>
      </c>
      <c r="G140" s="9" t="s">
        <v>466</v>
      </c>
      <c r="H140" s="9" t="s">
        <v>467</v>
      </c>
      <c r="M140" s="9" t="s">
        <v>468</v>
      </c>
    </row>
    <row r="141" spans="3:13" s="9" customFormat="1">
      <c r="D141" s="9" t="s">
        <v>463</v>
      </c>
      <c r="E141" s="9" t="s">
        <v>464</v>
      </c>
      <c r="F141" s="9" t="s">
        <v>465</v>
      </c>
      <c r="M141" s="25" t="s">
        <v>468</v>
      </c>
    </row>
    <row r="142" spans="3:13" s="9" customFormat="1">
      <c r="D142" s="9" t="s">
        <v>463</v>
      </c>
      <c r="E142" s="9" t="s">
        <v>464</v>
      </c>
      <c r="F142" s="9" t="s">
        <v>469</v>
      </c>
      <c r="M142" s="30" t="s">
        <v>470</v>
      </c>
    </row>
    <row r="143" spans="3:13" s="9" customFormat="1"/>
    <row r="144" spans="3:13" s="9" customFormat="1"/>
    <row r="145" spans="5:8" s="9" customFormat="1">
      <c r="E145" t="s">
        <v>464</v>
      </c>
      <c r="F145">
        <v>2600</v>
      </c>
      <c r="G145">
        <v>2611</v>
      </c>
      <c r="H145" t="s">
        <v>471</v>
      </c>
    </row>
    <row r="146" spans="5:8" s="9" customFormat="1"/>
  </sheetData>
  <autoFilter ref="A10:U64" xr:uid="{0CD42655-0B90-4FF1-A45F-AB762BED0517}">
    <filterColumn colId="3">
      <filters>
        <filter val="FireWall"/>
      </filters>
    </filterColumn>
  </autoFilter>
  <mergeCells count="3">
    <mergeCell ref="A1:B1"/>
    <mergeCell ref="E3:F3"/>
    <mergeCell ref="I3:J3"/>
  </mergeCells>
  <hyperlinks>
    <hyperlink ref="B6" r:id="rId1" xr:uid="{09641DA0-A9F1-4CC1-B324-B2067AC523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5BCD-E728-41CE-B634-5E785E93A24E}">
  <dimension ref="A1:X107"/>
  <sheetViews>
    <sheetView zoomScale="68" workbookViewId="0">
      <selection activeCell="B25" sqref="B25"/>
    </sheetView>
  </sheetViews>
  <sheetFormatPr defaultColWidth="8.85546875" defaultRowHeight="15" customHeight="1"/>
  <cols>
    <col min="1" max="1" width="20.28515625" bestFit="1" customWidth="1"/>
    <col min="2" max="2" width="28.140625" bestFit="1" customWidth="1"/>
    <col min="4" max="4" width="14.42578125" customWidth="1"/>
    <col min="5" max="5" width="20.42578125" customWidth="1"/>
    <col min="6" max="6" width="21.7109375" customWidth="1"/>
    <col min="7" max="7" width="20.28515625" customWidth="1"/>
    <col min="8" max="8" width="22.42578125" customWidth="1"/>
    <col min="9" max="9" width="30.140625" customWidth="1"/>
    <col min="10" max="10" width="101.28515625" bestFit="1" customWidth="1"/>
    <col min="11" max="11" width="20.140625" customWidth="1"/>
    <col min="12" max="12" width="29.42578125" customWidth="1"/>
    <col min="13" max="13" width="36.85546875" customWidth="1"/>
    <col min="14" max="14" width="18.85546875" customWidth="1"/>
    <col min="15" max="15" width="23.140625" customWidth="1"/>
    <col min="16" max="16" width="19.5703125" customWidth="1"/>
    <col min="22" max="22" width="60.5703125" bestFit="1" customWidth="1"/>
  </cols>
  <sheetData>
    <row r="1" spans="1:16" ht="14.45" customHeight="1">
      <c r="A1" s="161" t="s">
        <v>0</v>
      </c>
      <c r="B1" s="162"/>
      <c r="C1" s="162"/>
    </row>
    <row r="3" spans="1:16" ht="14.45" customHeight="1">
      <c r="A3" s="2" t="s">
        <v>1</v>
      </c>
      <c r="B3" s="3" t="s">
        <v>472</v>
      </c>
      <c r="C3" s="19"/>
      <c r="D3" s="152" t="s">
        <v>3</v>
      </c>
      <c r="E3" s="160"/>
      <c r="F3" s="12" t="s">
        <v>4</v>
      </c>
      <c r="H3" s="32"/>
      <c r="I3" s="31" t="s">
        <v>6</v>
      </c>
    </row>
    <row r="4" spans="1:16">
      <c r="A4" s="2" t="s">
        <v>7</v>
      </c>
      <c r="B4" s="3">
        <v>4.2</v>
      </c>
      <c r="C4" s="19"/>
      <c r="I4" s="31" t="s">
        <v>473</v>
      </c>
    </row>
    <row r="5" spans="1:16">
      <c r="A5" s="2" t="s">
        <v>10</v>
      </c>
      <c r="B5" s="4" t="s">
        <v>474</v>
      </c>
      <c r="C5" s="20"/>
      <c r="I5" s="31" t="s">
        <v>475</v>
      </c>
    </row>
    <row r="6" spans="1:16" ht="15" customHeight="1">
      <c r="A6" s="2" t="s">
        <v>12</v>
      </c>
      <c r="B6" s="7" t="s">
        <v>476</v>
      </c>
      <c r="C6" s="33"/>
      <c r="D6" s="163" t="s">
        <v>477</v>
      </c>
      <c r="E6" s="164"/>
      <c r="F6" s="164"/>
      <c r="G6" s="165"/>
    </row>
    <row r="7" spans="1:16">
      <c r="A7" s="2" t="s">
        <v>14</v>
      </c>
      <c r="B7" s="3" t="s">
        <v>478</v>
      </c>
      <c r="C7" s="19"/>
      <c r="D7" s="166"/>
      <c r="E7" s="167"/>
      <c r="F7" s="167"/>
      <c r="G7" s="168"/>
    </row>
    <row r="10" spans="1:16">
      <c r="A10" s="17" t="s">
        <v>16</v>
      </c>
      <c r="B10" s="17" t="s">
        <v>17</v>
      </c>
      <c r="C10" s="17" t="s">
        <v>18</v>
      </c>
      <c r="D10" s="17" t="s">
        <v>20</v>
      </c>
      <c r="E10" s="17" t="s">
        <v>21</v>
      </c>
      <c r="F10" s="17" t="s">
        <v>22</v>
      </c>
      <c r="G10" s="17" t="s">
        <v>23</v>
      </c>
      <c r="H10" s="17" t="s">
        <v>25</v>
      </c>
      <c r="I10" s="17" t="s">
        <v>26</v>
      </c>
      <c r="J10" s="17" t="s">
        <v>28</v>
      </c>
      <c r="K10" s="17" t="s">
        <v>29</v>
      </c>
      <c r="L10" s="17" t="s">
        <v>30</v>
      </c>
      <c r="M10" s="17" t="s">
        <v>33</v>
      </c>
      <c r="N10" s="17" t="s">
        <v>34</v>
      </c>
      <c r="O10" s="17" t="s">
        <v>35</v>
      </c>
      <c r="P10" s="17" t="s">
        <v>36</v>
      </c>
    </row>
    <row r="11" spans="1:16" ht="21" customHeight="1">
      <c r="A11" s="159" t="s">
        <v>479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</row>
    <row r="12" spans="1:16" ht="21" customHeight="1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</row>
    <row r="13" spans="1:16">
      <c r="A13" s="49" t="s">
        <v>480</v>
      </c>
      <c r="B13" s="80" t="s">
        <v>481</v>
      </c>
      <c r="C13" s="6" t="s">
        <v>51</v>
      </c>
      <c r="D13" s="6" t="s">
        <v>482</v>
      </c>
      <c r="E13" s="6" t="s">
        <v>483</v>
      </c>
      <c r="F13" s="6" t="s">
        <v>104</v>
      </c>
      <c r="G13" s="6" t="s">
        <v>484</v>
      </c>
      <c r="H13" s="6" t="s">
        <v>485</v>
      </c>
      <c r="I13" s="6" t="s">
        <v>486</v>
      </c>
      <c r="J13" s="6" t="s">
        <v>487</v>
      </c>
      <c r="K13" s="6" t="s">
        <v>93</v>
      </c>
      <c r="L13" s="6" t="s">
        <v>488</v>
      </c>
      <c r="M13" s="6"/>
      <c r="N13" s="6"/>
      <c r="O13" s="6"/>
      <c r="P13" s="6" t="s">
        <v>489</v>
      </c>
    </row>
    <row r="14" spans="1:16">
      <c r="A14" s="49" t="s">
        <v>480</v>
      </c>
      <c r="B14" s="80" t="s">
        <v>490</v>
      </c>
      <c r="C14" s="6" t="s">
        <v>51</v>
      </c>
      <c r="D14" s="6" t="s">
        <v>482</v>
      </c>
      <c r="E14" s="6" t="s">
        <v>483</v>
      </c>
      <c r="F14" s="6" t="s">
        <v>104</v>
      </c>
      <c r="G14" s="6" t="s">
        <v>150</v>
      </c>
      <c r="H14" s="6" t="s">
        <v>151</v>
      </c>
      <c r="I14" s="6" t="s">
        <v>107</v>
      </c>
      <c r="J14" s="6" t="s">
        <v>487</v>
      </c>
      <c r="K14" s="6" t="s">
        <v>93</v>
      </c>
      <c r="L14" s="6" t="s">
        <v>488</v>
      </c>
      <c r="M14" s="6"/>
      <c r="N14" s="6"/>
      <c r="O14" s="6"/>
      <c r="P14" s="6" t="s">
        <v>489</v>
      </c>
    </row>
    <row r="15" spans="1:16">
      <c r="A15" s="49" t="s">
        <v>480</v>
      </c>
      <c r="B15" s="80" t="s">
        <v>491</v>
      </c>
      <c r="C15" s="6" t="s">
        <v>51</v>
      </c>
      <c r="D15" s="6" t="s">
        <v>482</v>
      </c>
      <c r="E15" s="6">
        <v>3560</v>
      </c>
      <c r="F15" s="6" t="s">
        <v>97</v>
      </c>
      <c r="G15" s="6" t="s">
        <v>492</v>
      </c>
      <c r="H15" s="6" t="s">
        <v>493</v>
      </c>
      <c r="I15" s="70" t="s">
        <v>90</v>
      </c>
      <c r="J15" s="6" t="s">
        <v>494</v>
      </c>
      <c r="K15" s="6" t="s">
        <v>93</v>
      </c>
      <c r="L15" s="6" t="s">
        <v>495</v>
      </c>
      <c r="M15" s="6"/>
      <c r="N15" s="6"/>
      <c r="O15" s="6"/>
      <c r="P15" s="6" t="s">
        <v>489</v>
      </c>
    </row>
    <row r="16" spans="1:16">
      <c r="A16" s="49" t="s">
        <v>480</v>
      </c>
      <c r="B16" s="80" t="s">
        <v>496</v>
      </c>
      <c r="C16" s="6" t="s">
        <v>51</v>
      </c>
      <c r="D16" s="6" t="s">
        <v>482</v>
      </c>
      <c r="E16" s="6">
        <v>3560</v>
      </c>
      <c r="F16" s="6" t="s">
        <v>497</v>
      </c>
      <c r="G16" s="6" t="s">
        <v>425</v>
      </c>
      <c r="H16" s="6" t="s">
        <v>498</v>
      </c>
      <c r="I16" s="6" t="s">
        <v>499</v>
      </c>
      <c r="J16" s="6" t="s">
        <v>494</v>
      </c>
      <c r="K16" s="6" t="s">
        <v>93</v>
      </c>
      <c r="L16" s="6" t="s">
        <v>495</v>
      </c>
      <c r="M16" s="6"/>
      <c r="N16" s="6"/>
      <c r="O16" s="6"/>
      <c r="P16" s="6" t="s">
        <v>489</v>
      </c>
    </row>
    <row r="17" spans="1:24">
      <c r="A17" s="49" t="s">
        <v>480</v>
      </c>
      <c r="B17" s="76" t="s">
        <v>500</v>
      </c>
      <c r="C17" s="69" t="s">
        <v>51</v>
      </c>
      <c r="D17" s="69" t="s">
        <v>482</v>
      </c>
      <c r="E17" s="69">
        <v>4300</v>
      </c>
      <c r="F17" s="69" t="s">
        <v>501</v>
      </c>
      <c r="G17" s="69" t="s">
        <v>206</v>
      </c>
      <c r="H17" s="69" t="s">
        <v>206</v>
      </c>
      <c r="I17" s="69" t="s">
        <v>206</v>
      </c>
      <c r="J17" s="69" t="s">
        <v>502</v>
      </c>
      <c r="K17" s="69" t="s">
        <v>206</v>
      </c>
      <c r="L17" s="69" t="s">
        <v>503</v>
      </c>
      <c r="M17" s="69"/>
      <c r="N17" s="69"/>
      <c r="O17" s="68"/>
      <c r="P17" s="69" t="s">
        <v>489</v>
      </c>
    </row>
    <row r="18" spans="1:24">
      <c r="A18" s="49" t="s">
        <v>480</v>
      </c>
      <c r="B18" s="75" t="s">
        <v>504</v>
      </c>
      <c r="C18" s="31" t="s">
        <v>51</v>
      </c>
      <c r="D18" s="31" t="s">
        <v>209</v>
      </c>
      <c r="E18" s="78" t="s">
        <v>505</v>
      </c>
      <c r="F18" s="31" t="s">
        <v>506</v>
      </c>
      <c r="G18" s="31" t="s">
        <v>507</v>
      </c>
      <c r="H18" s="31" t="s">
        <v>508</v>
      </c>
      <c r="I18" s="31" t="s">
        <v>206</v>
      </c>
      <c r="J18" s="67" t="s">
        <v>509</v>
      </c>
      <c r="K18" s="31" t="s">
        <v>510</v>
      </c>
      <c r="L18" s="31" t="s">
        <v>511</v>
      </c>
      <c r="M18" s="31"/>
      <c r="N18" s="31"/>
      <c r="O18" s="66"/>
      <c r="P18" s="31" t="s">
        <v>489</v>
      </c>
    </row>
    <row r="19" spans="1:24">
      <c r="A19" s="50" t="s">
        <v>512</v>
      </c>
      <c r="B19" s="75" t="s">
        <v>513</v>
      </c>
      <c r="C19" s="31" t="s">
        <v>51</v>
      </c>
      <c r="D19" s="31" t="s">
        <v>482</v>
      </c>
      <c r="E19" s="31">
        <v>3560</v>
      </c>
      <c r="F19" s="31" t="s">
        <v>97</v>
      </c>
      <c r="G19" s="31" t="s">
        <v>514</v>
      </c>
      <c r="H19" s="31" t="s">
        <v>99</v>
      </c>
      <c r="I19" s="31" t="s">
        <v>100</v>
      </c>
      <c r="J19" s="6" t="s">
        <v>494</v>
      </c>
      <c r="K19" s="31" t="s">
        <v>93</v>
      </c>
      <c r="L19" s="31" t="s">
        <v>495</v>
      </c>
      <c r="M19" s="31"/>
      <c r="N19" s="31"/>
      <c r="O19" s="66"/>
      <c r="P19" s="31" t="s">
        <v>515</v>
      </c>
    </row>
    <row r="20" spans="1:24">
      <c r="A20" s="50" t="s">
        <v>512</v>
      </c>
      <c r="B20" s="75" t="s">
        <v>516</v>
      </c>
      <c r="C20" s="31" t="s">
        <v>51</v>
      </c>
      <c r="D20" s="31" t="s">
        <v>482</v>
      </c>
      <c r="E20" s="31" t="s">
        <v>469</v>
      </c>
      <c r="F20" s="31" t="s">
        <v>517</v>
      </c>
      <c r="G20" s="31" t="s">
        <v>518</v>
      </c>
      <c r="H20" s="6" t="s">
        <v>519</v>
      </c>
      <c r="I20" s="48" t="s">
        <v>206</v>
      </c>
      <c r="J20" s="36" t="s">
        <v>520</v>
      </c>
      <c r="K20" s="65" t="s">
        <v>206</v>
      </c>
      <c r="L20" s="6" t="s">
        <v>206</v>
      </c>
      <c r="M20" s="6"/>
      <c r="N20" s="6"/>
      <c r="O20" s="6"/>
      <c r="P20" s="31" t="s">
        <v>515</v>
      </c>
    </row>
    <row r="21" spans="1:24">
      <c r="A21" s="51" t="s">
        <v>512</v>
      </c>
      <c r="B21" s="75" t="s">
        <v>521</v>
      </c>
      <c r="C21" s="64" t="s">
        <v>51</v>
      </c>
      <c r="D21" s="64" t="s">
        <v>522</v>
      </c>
      <c r="E21" s="91" t="s">
        <v>505</v>
      </c>
      <c r="F21" s="31" t="s">
        <v>506</v>
      </c>
      <c r="G21" s="64" t="s">
        <v>523</v>
      </c>
      <c r="H21" s="64" t="s">
        <v>524</v>
      </c>
      <c r="I21" s="64" t="s">
        <v>206</v>
      </c>
      <c r="J21" s="67" t="s">
        <v>509</v>
      </c>
      <c r="K21" s="31" t="s">
        <v>510</v>
      </c>
      <c r="L21" s="31" t="s">
        <v>511</v>
      </c>
      <c r="M21" s="64"/>
      <c r="N21" s="64"/>
      <c r="O21" s="64"/>
      <c r="P21" s="64" t="s">
        <v>515</v>
      </c>
    </row>
    <row r="22" spans="1:24">
      <c r="A22" s="52" t="s">
        <v>525</v>
      </c>
      <c r="B22" s="75" t="s">
        <v>526</v>
      </c>
      <c r="C22" s="6" t="s">
        <v>51</v>
      </c>
      <c r="D22" s="6" t="s">
        <v>482</v>
      </c>
      <c r="E22" s="6">
        <v>3560</v>
      </c>
      <c r="F22" s="31" t="s">
        <v>97</v>
      </c>
      <c r="G22" s="6" t="s">
        <v>461</v>
      </c>
      <c r="H22" s="6" t="s">
        <v>527</v>
      </c>
      <c r="I22" s="6" t="s">
        <v>100</v>
      </c>
      <c r="J22" s="6" t="s">
        <v>494</v>
      </c>
      <c r="K22" s="6" t="s">
        <v>93</v>
      </c>
      <c r="L22" s="6" t="s">
        <v>495</v>
      </c>
      <c r="M22" s="6"/>
      <c r="N22" s="6"/>
      <c r="O22" s="6"/>
      <c r="P22" s="6" t="s">
        <v>528</v>
      </c>
    </row>
    <row r="23" spans="1:24">
      <c r="A23" s="52" t="s">
        <v>525</v>
      </c>
      <c r="B23" s="75" t="s">
        <v>529</v>
      </c>
      <c r="C23" s="6" t="s">
        <v>51</v>
      </c>
      <c r="D23" s="37" t="s">
        <v>482</v>
      </c>
      <c r="E23" s="37" t="s">
        <v>465</v>
      </c>
      <c r="F23" s="37" t="s">
        <v>530</v>
      </c>
      <c r="G23" s="37" t="s">
        <v>467</v>
      </c>
      <c r="H23" s="64" t="s">
        <v>206</v>
      </c>
      <c r="I23" s="63" t="s">
        <v>206</v>
      </c>
      <c r="J23" s="37" t="s">
        <v>531</v>
      </c>
      <c r="K23" s="62" t="s">
        <v>532</v>
      </c>
      <c r="L23" s="64" t="s">
        <v>533</v>
      </c>
      <c r="M23" s="64"/>
      <c r="N23" s="64"/>
      <c r="O23" s="64"/>
      <c r="P23" s="6" t="s">
        <v>528</v>
      </c>
    </row>
    <row r="24" spans="1:24">
      <c r="A24" s="52" t="s">
        <v>525</v>
      </c>
      <c r="B24" s="75" t="s">
        <v>534</v>
      </c>
      <c r="C24" s="6" t="s">
        <v>51</v>
      </c>
      <c r="D24" s="61" t="s">
        <v>535</v>
      </c>
      <c r="E24" s="79" t="s">
        <v>505</v>
      </c>
      <c r="F24" s="6" t="s">
        <v>506</v>
      </c>
      <c r="G24" s="6" t="s">
        <v>536</v>
      </c>
      <c r="H24" s="6" t="s">
        <v>537</v>
      </c>
      <c r="I24" s="6" t="s">
        <v>206</v>
      </c>
      <c r="J24" s="67" t="s">
        <v>509</v>
      </c>
      <c r="K24" s="31" t="s">
        <v>510</v>
      </c>
      <c r="L24" s="31" t="s">
        <v>511</v>
      </c>
      <c r="M24" s="6"/>
      <c r="N24" s="6"/>
      <c r="O24" s="14"/>
      <c r="P24" s="6" t="s">
        <v>528</v>
      </c>
      <c r="U24" s="9"/>
      <c r="V24" s="9"/>
      <c r="W24" s="9"/>
      <c r="X24" s="9"/>
    </row>
    <row r="25" spans="1:24">
      <c r="A25" s="53" t="s">
        <v>538</v>
      </c>
      <c r="B25" s="75" t="s">
        <v>539</v>
      </c>
      <c r="C25" s="6" t="s">
        <v>51</v>
      </c>
      <c r="D25" s="6" t="s">
        <v>482</v>
      </c>
      <c r="E25" s="6">
        <v>2960</v>
      </c>
      <c r="F25" s="6" t="s">
        <v>540</v>
      </c>
      <c r="G25" s="6" t="s">
        <v>454</v>
      </c>
      <c r="H25" s="6" t="s">
        <v>541</v>
      </c>
      <c r="I25" s="6" t="s">
        <v>100</v>
      </c>
      <c r="J25" s="6" t="s">
        <v>487</v>
      </c>
      <c r="K25" s="6" t="s">
        <v>93</v>
      </c>
      <c r="L25" s="6" t="s">
        <v>488</v>
      </c>
      <c r="M25" s="6"/>
      <c r="N25" s="6"/>
      <c r="O25" s="6"/>
      <c r="P25" s="6" t="s">
        <v>542</v>
      </c>
      <c r="U25" s="24"/>
      <c r="V25" s="24"/>
      <c r="W25" s="24"/>
      <c r="X25" s="24"/>
    </row>
    <row r="26" spans="1:24">
      <c r="A26" s="53" t="s">
        <v>543</v>
      </c>
      <c r="B26" s="75" t="s">
        <v>544</v>
      </c>
      <c r="C26" s="6" t="s">
        <v>51</v>
      </c>
      <c r="D26" s="31" t="s">
        <v>482</v>
      </c>
      <c r="E26" s="31" t="s">
        <v>465</v>
      </c>
      <c r="F26" s="31" t="s">
        <v>530</v>
      </c>
      <c r="G26" s="31" t="s">
        <v>545</v>
      </c>
      <c r="H26" s="6" t="s">
        <v>206</v>
      </c>
      <c r="I26" s="48" t="s">
        <v>206</v>
      </c>
      <c r="J26" s="35" t="s">
        <v>531</v>
      </c>
      <c r="K26" s="65" t="s">
        <v>532</v>
      </c>
      <c r="L26" s="6" t="s">
        <v>533</v>
      </c>
      <c r="M26" s="6"/>
      <c r="N26" s="6"/>
      <c r="O26" s="6"/>
      <c r="P26" s="64" t="s">
        <v>542</v>
      </c>
      <c r="U26" s="9"/>
      <c r="V26" s="9"/>
      <c r="W26" s="9"/>
      <c r="X26" s="9"/>
    </row>
    <row r="27" spans="1:24">
      <c r="A27" s="54" t="s">
        <v>543</v>
      </c>
      <c r="B27" s="77" t="s">
        <v>546</v>
      </c>
      <c r="C27" s="69" t="s">
        <v>51</v>
      </c>
      <c r="D27" s="60" t="s">
        <v>522</v>
      </c>
      <c r="E27" s="90" t="s">
        <v>505</v>
      </c>
      <c r="F27" s="59" t="s">
        <v>506</v>
      </c>
      <c r="G27" s="60" t="s">
        <v>547</v>
      </c>
      <c r="H27" s="60" t="s">
        <v>548</v>
      </c>
      <c r="I27" s="60" t="s">
        <v>549</v>
      </c>
      <c r="J27" s="58" t="s">
        <v>509</v>
      </c>
      <c r="K27" s="59" t="s">
        <v>510</v>
      </c>
      <c r="L27" s="59" t="s">
        <v>511</v>
      </c>
      <c r="M27" s="60"/>
      <c r="N27" s="60"/>
      <c r="O27" s="60"/>
      <c r="P27" s="64" t="s">
        <v>542</v>
      </c>
      <c r="U27" s="9"/>
      <c r="V27" s="9"/>
      <c r="W27" s="9"/>
      <c r="X27" s="25"/>
    </row>
    <row r="28" spans="1:24">
      <c r="A28" s="94" t="s">
        <v>550</v>
      </c>
      <c r="B28" s="75" t="s">
        <v>551</v>
      </c>
      <c r="C28" s="31" t="s">
        <v>51</v>
      </c>
      <c r="D28" s="106" t="s">
        <v>482</v>
      </c>
      <c r="E28" s="112">
        <v>2960</v>
      </c>
      <c r="F28" s="36" t="s">
        <v>540</v>
      </c>
      <c r="G28" s="118" t="s">
        <v>327</v>
      </c>
      <c r="H28" s="36" t="s">
        <v>552</v>
      </c>
      <c r="I28" s="118" t="s">
        <v>100</v>
      </c>
      <c r="J28" s="36" t="s">
        <v>487</v>
      </c>
      <c r="K28" s="72" t="s">
        <v>93</v>
      </c>
      <c r="L28" s="59" t="s">
        <v>488</v>
      </c>
      <c r="M28" s="9"/>
      <c r="N28" s="9"/>
      <c r="O28" s="9"/>
      <c r="P28" s="9"/>
      <c r="U28" s="9"/>
      <c r="V28" s="9"/>
      <c r="W28" s="9"/>
      <c r="X28" s="25"/>
    </row>
    <row r="29" spans="1:24">
      <c r="A29" s="94" t="s">
        <v>550</v>
      </c>
      <c r="B29" s="75" t="s">
        <v>553</v>
      </c>
      <c r="C29" s="31" t="s">
        <v>51</v>
      </c>
      <c r="D29" s="106" t="s">
        <v>482</v>
      </c>
      <c r="E29" s="117" t="s">
        <v>469</v>
      </c>
      <c r="F29" s="9" t="s">
        <v>554</v>
      </c>
      <c r="G29" s="115" t="s">
        <v>555</v>
      </c>
      <c r="H29" s="116" t="s">
        <v>556</v>
      </c>
      <c r="I29" s="111" t="s">
        <v>206</v>
      </c>
      <c r="J29" s="111" t="s">
        <v>557</v>
      </c>
      <c r="K29" s="59" t="s">
        <v>532</v>
      </c>
      <c r="L29" s="59" t="s">
        <v>558</v>
      </c>
      <c r="M29" s="9"/>
      <c r="N29" s="9"/>
      <c r="O29" s="9"/>
      <c r="P29" s="9"/>
      <c r="U29" s="9"/>
      <c r="V29" s="9"/>
      <c r="W29" s="9"/>
      <c r="X29" s="25"/>
    </row>
    <row r="30" spans="1:24">
      <c r="A30" s="95" t="s">
        <v>550</v>
      </c>
      <c r="B30" s="75" t="s">
        <v>559</v>
      </c>
      <c r="C30" s="31" t="s">
        <v>51</v>
      </c>
      <c r="D30" s="106" t="s">
        <v>522</v>
      </c>
      <c r="E30" s="109" t="s">
        <v>505</v>
      </c>
      <c r="F30" s="71" t="s">
        <v>506</v>
      </c>
      <c r="G30" s="115"/>
      <c r="H30" s="114"/>
      <c r="I30" s="110"/>
      <c r="J30" s="112" t="s">
        <v>560</v>
      </c>
      <c r="K30" s="36" t="s">
        <v>510</v>
      </c>
      <c r="L30" s="36" t="s">
        <v>511</v>
      </c>
      <c r="M30" s="9"/>
      <c r="N30" s="9"/>
      <c r="O30" s="9"/>
      <c r="P30" s="9"/>
      <c r="U30" s="9"/>
      <c r="V30" s="9"/>
      <c r="W30" s="9"/>
      <c r="X30" s="25"/>
    </row>
    <row r="31" spans="1:24">
      <c r="A31" s="96" t="s">
        <v>561</v>
      </c>
      <c r="B31" s="97" t="s">
        <v>562</v>
      </c>
      <c r="C31" s="37" t="s">
        <v>51</v>
      </c>
      <c r="D31" s="37" t="s">
        <v>482</v>
      </c>
      <c r="E31" s="37">
        <v>4221</v>
      </c>
      <c r="F31" s="31"/>
      <c r="G31" s="37"/>
      <c r="H31" s="113"/>
      <c r="I31" s="37"/>
      <c r="J31" s="37" t="s">
        <v>563</v>
      </c>
      <c r="K31" s="37" t="s">
        <v>532</v>
      </c>
      <c r="L31" s="37" t="s">
        <v>564</v>
      </c>
      <c r="M31" s="31"/>
      <c r="N31" s="31"/>
      <c r="O31" s="66"/>
      <c r="P31" s="31" t="s">
        <v>565</v>
      </c>
      <c r="U31" s="9"/>
      <c r="V31" s="9"/>
      <c r="W31" s="9"/>
      <c r="X31" s="9"/>
    </row>
    <row r="32" spans="1:24">
      <c r="A32" s="55" t="s">
        <v>561</v>
      </c>
      <c r="B32" s="75" t="s">
        <v>566</v>
      </c>
      <c r="C32" s="31" t="s">
        <v>51</v>
      </c>
      <c r="D32" s="31" t="s">
        <v>482</v>
      </c>
      <c r="E32" s="31">
        <v>4221</v>
      </c>
      <c r="F32" s="31"/>
      <c r="G32" s="31"/>
      <c r="H32" s="31"/>
      <c r="I32" s="31"/>
      <c r="J32" s="31" t="s">
        <v>563</v>
      </c>
      <c r="K32" s="31" t="s">
        <v>532</v>
      </c>
      <c r="L32" s="31" t="s">
        <v>564</v>
      </c>
      <c r="M32" s="31"/>
      <c r="N32" s="31"/>
      <c r="O32" s="31"/>
      <c r="P32" s="31" t="s">
        <v>565</v>
      </c>
      <c r="U32" s="9"/>
      <c r="V32" s="9"/>
      <c r="W32" s="9"/>
      <c r="X32" s="9"/>
    </row>
    <row r="33" spans="1:24">
      <c r="A33" s="55" t="s">
        <v>561</v>
      </c>
      <c r="B33" s="75" t="s">
        <v>567</v>
      </c>
      <c r="C33" s="31" t="s">
        <v>51</v>
      </c>
      <c r="D33" s="31" t="s">
        <v>482</v>
      </c>
      <c r="E33" s="31">
        <v>4221</v>
      </c>
      <c r="F33" s="31"/>
      <c r="G33" s="31"/>
      <c r="H33" s="31"/>
      <c r="I33" s="31"/>
      <c r="J33" s="31" t="s">
        <v>563</v>
      </c>
      <c r="K33" s="31" t="s">
        <v>532</v>
      </c>
      <c r="L33" s="31" t="s">
        <v>564</v>
      </c>
      <c r="M33" s="31"/>
      <c r="N33" s="31"/>
      <c r="O33" s="31"/>
      <c r="P33" s="31" t="s">
        <v>565</v>
      </c>
      <c r="U33" s="9"/>
      <c r="V33" s="9"/>
      <c r="W33" s="9"/>
      <c r="X33" s="9"/>
    </row>
    <row r="34" spans="1:24">
      <c r="A34" s="74"/>
      <c r="B34" s="81"/>
      <c r="C34" s="59"/>
      <c r="D34" s="59"/>
      <c r="E34" s="59"/>
      <c r="F34" s="59"/>
      <c r="G34" s="59"/>
      <c r="H34" s="59"/>
      <c r="I34" s="59"/>
      <c r="J34" s="59"/>
      <c r="K34" s="31"/>
      <c r="L34" s="31"/>
      <c r="M34" s="31"/>
      <c r="N34" s="31"/>
      <c r="O34" s="31"/>
      <c r="P34" s="31"/>
      <c r="U34" s="9"/>
      <c r="V34" s="9"/>
      <c r="W34" s="9"/>
      <c r="X34" s="9"/>
    </row>
    <row r="35" spans="1:24">
      <c r="A35" s="73"/>
      <c r="B35" s="31"/>
      <c r="C35" s="31"/>
      <c r="D35" s="31"/>
      <c r="E35" s="31"/>
      <c r="F35" s="31"/>
      <c r="G35" s="31"/>
      <c r="H35" s="31"/>
      <c r="I35" s="31"/>
      <c r="J35" s="31"/>
      <c r="K35" s="71"/>
      <c r="L35" s="71"/>
      <c r="M35" s="71"/>
      <c r="N35" s="71"/>
      <c r="O35" s="71"/>
      <c r="P35" s="72"/>
      <c r="U35" s="9"/>
      <c r="V35" s="9"/>
      <c r="W35" s="9"/>
      <c r="X35" s="9"/>
    </row>
    <row r="36" spans="1:24">
      <c r="A36" s="73"/>
      <c r="B36" s="31"/>
      <c r="C36" s="31"/>
      <c r="D36" s="31"/>
      <c r="E36" s="59"/>
      <c r="F36" s="59"/>
      <c r="G36" s="31"/>
      <c r="H36" s="31"/>
      <c r="I36" s="31"/>
      <c r="J36" s="59"/>
      <c r="K36" s="31"/>
      <c r="L36" s="31"/>
      <c r="M36" s="71"/>
      <c r="N36" s="71"/>
      <c r="O36" s="71"/>
      <c r="P36" s="72"/>
      <c r="U36" s="9"/>
      <c r="V36" s="9"/>
      <c r="W36" s="9"/>
      <c r="X36" s="9"/>
    </row>
    <row r="37" spans="1:24">
      <c r="A37" s="73"/>
      <c r="B37" s="31"/>
      <c r="C37" s="31"/>
      <c r="D37" s="31"/>
      <c r="E37" s="31"/>
      <c r="F37" s="31"/>
      <c r="G37" s="31"/>
      <c r="H37" s="31"/>
      <c r="I37" s="31"/>
      <c r="J37" s="31"/>
      <c r="K37" s="71"/>
      <c r="L37" s="71"/>
      <c r="M37" s="71"/>
      <c r="N37" s="71"/>
      <c r="O37" s="71"/>
      <c r="P37" s="72"/>
      <c r="U37" s="9"/>
      <c r="V37" s="9"/>
      <c r="W37" s="9"/>
      <c r="X37" s="9"/>
    </row>
    <row r="38" spans="1:24" ht="21" customHeight="1">
      <c r="B38" t="s">
        <v>568</v>
      </c>
      <c r="C38" t="s">
        <v>51</v>
      </c>
      <c r="D38" t="s">
        <v>569</v>
      </c>
      <c r="E38" t="s">
        <v>570</v>
      </c>
      <c r="U38" s="9"/>
      <c r="V38" s="9"/>
      <c r="W38" s="9"/>
      <c r="X38" s="9"/>
    </row>
    <row r="39" spans="1:24" ht="21" customHeight="1"/>
    <row r="40" spans="1:24" ht="15" customHeight="1">
      <c r="A40" s="153" t="s">
        <v>571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5"/>
    </row>
    <row r="41" spans="1:24" ht="15" customHeight="1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8"/>
    </row>
    <row r="42" spans="1:24">
      <c r="A42" s="40" t="s">
        <v>572</v>
      </c>
      <c r="B42" s="146" t="s">
        <v>573</v>
      </c>
      <c r="C42" s="147" t="s">
        <v>51</v>
      </c>
      <c r="D42" s="148" t="s">
        <v>40</v>
      </c>
      <c r="E42" s="148" t="s">
        <v>342</v>
      </c>
      <c r="F42" s="148" t="s">
        <v>314</v>
      </c>
      <c r="G42" s="148" t="s">
        <v>343</v>
      </c>
      <c r="H42" s="148" t="s">
        <v>574</v>
      </c>
      <c r="I42" s="148" t="s">
        <v>486</v>
      </c>
      <c r="J42" s="6" t="s">
        <v>344</v>
      </c>
      <c r="K42" s="6"/>
      <c r="L42" s="47"/>
      <c r="M42" s="47"/>
      <c r="N42" s="47"/>
      <c r="O42" s="47"/>
      <c r="P42" s="34" t="s">
        <v>575</v>
      </c>
    </row>
    <row r="43" spans="1:24">
      <c r="A43" s="40" t="s">
        <v>572</v>
      </c>
      <c r="B43" s="146" t="s">
        <v>576</v>
      </c>
      <c r="C43" s="147" t="s">
        <v>51</v>
      </c>
      <c r="D43" s="148" t="s">
        <v>40</v>
      </c>
      <c r="E43" s="148" t="s">
        <v>313</v>
      </c>
      <c r="F43" s="148"/>
      <c r="G43" s="148" t="s">
        <v>324</v>
      </c>
      <c r="H43" s="148" t="s">
        <v>577</v>
      </c>
      <c r="I43" s="148" t="s">
        <v>486</v>
      </c>
      <c r="J43" s="6" t="s">
        <v>319</v>
      </c>
      <c r="K43" s="47"/>
      <c r="L43" s="47"/>
      <c r="M43" s="47"/>
      <c r="N43" s="47"/>
      <c r="O43" s="47"/>
      <c r="P43" s="34" t="s">
        <v>575</v>
      </c>
    </row>
    <row r="44" spans="1:24">
      <c r="A44" s="40" t="s">
        <v>572</v>
      </c>
      <c r="B44" s="146" t="s">
        <v>578</v>
      </c>
      <c r="C44" s="147" t="s">
        <v>51</v>
      </c>
      <c r="D44" s="148" t="s">
        <v>40</v>
      </c>
      <c r="E44" s="148" t="s">
        <v>579</v>
      </c>
      <c r="F44" s="148" t="s">
        <v>580</v>
      </c>
      <c r="G44" s="148" t="s">
        <v>581</v>
      </c>
      <c r="H44" s="148" t="s">
        <v>582</v>
      </c>
      <c r="I44" s="147"/>
      <c r="J44" s="6" t="s">
        <v>583</v>
      </c>
      <c r="K44" s="47"/>
      <c r="L44" s="47"/>
      <c r="M44" s="47"/>
      <c r="N44" s="47"/>
      <c r="O44" s="47"/>
      <c r="P44" s="34" t="s">
        <v>575</v>
      </c>
    </row>
    <row r="45" spans="1:24">
      <c r="A45" s="40" t="s">
        <v>572</v>
      </c>
      <c r="B45" s="146" t="s">
        <v>584</v>
      </c>
      <c r="C45" s="147" t="s">
        <v>51</v>
      </c>
      <c r="D45" s="148" t="s">
        <v>40</v>
      </c>
      <c r="E45" s="148" t="s">
        <v>579</v>
      </c>
      <c r="F45" s="148" t="s">
        <v>580</v>
      </c>
      <c r="G45" s="148" t="s">
        <v>585</v>
      </c>
      <c r="H45" s="148" t="s">
        <v>586</v>
      </c>
      <c r="I45" s="147"/>
      <c r="J45" s="34" t="s">
        <v>583</v>
      </c>
      <c r="K45" s="47"/>
      <c r="L45" s="47"/>
      <c r="M45" s="47"/>
      <c r="N45" s="47"/>
      <c r="O45" s="47"/>
      <c r="P45" s="34" t="s">
        <v>575</v>
      </c>
    </row>
    <row r="46" spans="1:24">
      <c r="A46" s="40" t="s">
        <v>572</v>
      </c>
      <c r="B46" s="149" t="s">
        <v>587</v>
      </c>
      <c r="C46" s="147" t="s">
        <v>51</v>
      </c>
      <c r="D46" s="148" t="s">
        <v>40</v>
      </c>
      <c r="E46" s="148">
        <v>4300</v>
      </c>
      <c r="F46" s="148">
        <v>4321</v>
      </c>
      <c r="G46" s="148" t="s">
        <v>304</v>
      </c>
      <c r="H46" s="148"/>
      <c r="I46" s="148"/>
      <c r="J46" s="6" t="s">
        <v>305</v>
      </c>
      <c r="K46" s="6"/>
      <c r="L46" s="6"/>
      <c r="M46" s="47"/>
      <c r="N46" s="47"/>
      <c r="O46" s="47"/>
      <c r="P46" s="34" t="s">
        <v>575</v>
      </c>
    </row>
    <row r="47" spans="1:24">
      <c r="A47" s="40" t="s">
        <v>572</v>
      </c>
      <c r="B47" s="144" t="s">
        <v>588</v>
      </c>
      <c r="C47" s="142" t="s">
        <v>51</v>
      </c>
      <c r="D47" s="143" t="s">
        <v>209</v>
      </c>
      <c r="E47" s="145" t="s">
        <v>505</v>
      </c>
      <c r="F47" s="143" t="s">
        <v>506</v>
      </c>
      <c r="G47" s="143" t="s">
        <v>589</v>
      </c>
      <c r="H47" s="143" t="s">
        <v>590</v>
      </c>
      <c r="I47" s="142"/>
      <c r="J47" s="6" t="s">
        <v>591</v>
      </c>
      <c r="K47" s="47"/>
      <c r="L47" s="6"/>
      <c r="M47" s="47"/>
      <c r="N47" s="47"/>
      <c r="O47" s="47"/>
      <c r="P47" s="34" t="s">
        <v>575</v>
      </c>
    </row>
    <row r="48" spans="1:24">
      <c r="A48" s="41" t="s">
        <v>592</v>
      </c>
      <c r="B48" s="80" t="s">
        <v>593</v>
      </c>
      <c r="C48" s="34" t="s">
        <v>51</v>
      </c>
      <c r="D48" s="6" t="s">
        <v>40</v>
      </c>
      <c r="E48" s="6" t="s">
        <v>342</v>
      </c>
      <c r="F48" s="6" t="s">
        <v>314</v>
      </c>
      <c r="G48" s="6" t="s">
        <v>354</v>
      </c>
      <c r="H48" s="6" t="s">
        <v>594</v>
      </c>
      <c r="I48" s="6" t="s">
        <v>486</v>
      </c>
      <c r="J48" s="6" t="s">
        <v>344</v>
      </c>
      <c r="K48" s="47"/>
      <c r="L48" s="47"/>
      <c r="M48" s="47"/>
      <c r="N48" s="47"/>
      <c r="O48" s="47"/>
      <c r="P48" s="34" t="s">
        <v>595</v>
      </c>
    </row>
    <row r="49" spans="1:16">
      <c r="A49" s="41" t="s">
        <v>592</v>
      </c>
      <c r="B49" s="6" t="s">
        <v>596</v>
      </c>
      <c r="C49" s="34" t="s">
        <v>51</v>
      </c>
      <c r="D49" s="6" t="s">
        <v>40</v>
      </c>
      <c r="E49" s="6">
        <v>2960</v>
      </c>
      <c r="F49" s="6" t="s">
        <v>383</v>
      </c>
      <c r="G49" s="6" t="s">
        <v>384</v>
      </c>
      <c r="H49" s="6" t="s">
        <v>597</v>
      </c>
      <c r="I49" s="6" t="s">
        <v>486</v>
      </c>
      <c r="J49" s="6" t="s">
        <v>319</v>
      </c>
      <c r="K49" s="47"/>
      <c r="L49" s="47"/>
      <c r="M49" s="47"/>
      <c r="N49" s="47"/>
      <c r="O49" s="47"/>
      <c r="P49" s="34" t="s">
        <v>595</v>
      </c>
    </row>
    <row r="50" spans="1:16">
      <c r="A50" s="41" t="s">
        <v>592</v>
      </c>
      <c r="B50" s="6" t="s">
        <v>598</v>
      </c>
      <c r="C50" s="34" t="s">
        <v>51</v>
      </c>
      <c r="D50" s="6" t="s">
        <v>40</v>
      </c>
      <c r="E50" s="6" t="s">
        <v>599</v>
      </c>
      <c r="F50" s="6" t="s">
        <v>600</v>
      </c>
      <c r="G50" s="6" t="s">
        <v>601</v>
      </c>
      <c r="H50" s="6" t="s">
        <v>602</v>
      </c>
      <c r="I50" s="34"/>
      <c r="J50" s="6" t="s">
        <v>603</v>
      </c>
      <c r="K50" s="47"/>
      <c r="L50" s="47"/>
      <c r="M50" s="47"/>
      <c r="N50" s="47"/>
      <c r="O50" s="47"/>
      <c r="P50" s="34" t="s">
        <v>595</v>
      </c>
    </row>
    <row r="51" spans="1:16">
      <c r="A51" s="41" t="s">
        <v>592</v>
      </c>
      <c r="B51" s="6" t="s">
        <v>604</v>
      </c>
      <c r="C51" s="34" t="s">
        <v>51</v>
      </c>
      <c r="D51" s="6" t="s">
        <v>40</v>
      </c>
      <c r="E51" s="6" t="s">
        <v>599</v>
      </c>
      <c r="F51" s="6" t="s">
        <v>600</v>
      </c>
      <c r="G51" s="6" t="s">
        <v>605</v>
      </c>
      <c r="H51" s="6" t="s">
        <v>606</v>
      </c>
      <c r="I51" s="34"/>
      <c r="J51" s="6" t="s">
        <v>603</v>
      </c>
      <c r="K51" s="47"/>
      <c r="L51" s="47"/>
      <c r="M51" s="47"/>
      <c r="N51" s="47"/>
      <c r="O51" s="47"/>
      <c r="P51" s="34" t="s">
        <v>595</v>
      </c>
    </row>
    <row r="52" spans="1:16">
      <c r="A52" s="41" t="s">
        <v>592</v>
      </c>
      <c r="B52" s="69" t="s">
        <v>607</v>
      </c>
      <c r="C52" s="34" t="s">
        <v>51</v>
      </c>
      <c r="D52" s="6" t="s">
        <v>40</v>
      </c>
      <c r="E52" s="6">
        <v>4300</v>
      </c>
      <c r="F52" s="6">
        <v>4321</v>
      </c>
      <c r="G52" s="6" t="s">
        <v>358</v>
      </c>
      <c r="H52" s="6"/>
      <c r="I52" s="6"/>
      <c r="J52" s="6" t="s">
        <v>359</v>
      </c>
      <c r="K52" s="47"/>
      <c r="L52" s="47"/>
      <c r="M52" s="47"/>
      <c r="N52" s="47"/>
      <c r="O52" s="47"/>
      <c r="P52" s="34" t="s">
        <v>595</v>
      </c>
    </row>
    <row r="53" spans="1:16">
      <c r="A53" s="41" t="s">
        <v>592</v>
      </c>
      <c r="B53" s="75" t="s">
        <v>608</v>
      </c>
      <c r="C53" s="34" t="s">
        <v>51</v>
      </c>
      <c r="D53" s="34" t="s">
        <v>209</v>
      </c>
      <c r="E53" s="89" t="s">
        <v>505</v>
      </c>
      <c r="F53" s="34" t="s">
        <v>506</v>
      </c>
      <c r="G53" s="34" t="s">
        <v>609</v>
      </c>
      <c r="H53" s="34" t="s">
        <v>610</v>
      </c>
      <c r="I53" s="34"/>
      <c r="J53" s="6" t="s">
        <v>591</v>
      </c>
      <c r="K53" s="47"/>
      <c r="L53" s="47"/>
      <c r="M53" s="47"/>
      <c r="N53" s="47"/>
      <c r="O53" s="47"/>
      <c r="P53" s="34" t="s">
        <v>595</v>
      </c>
    </row>
    <row r="54" spans="1:16">
      <c r="A54" s="42" t="s">
        <v>550</v>
      </c>
      <c r="B54" s="31"/>
      <c r="C54" s="34" t="s">
        <v>51</v>
      </c>
      <c r="D54" s="6" t="s">
        <v>40</v>
      </c>
      <c r="E54" s="6" t="s">
        <v>313</v>
      </c>
      <c r="F54" s="6" t="s">
        <v>456</v>
      </c>
      <c r="G54" s="6" t="s">
        <v>457</v>
      </c>
      <c r="H54" s="6"/>
      <c r="I54" s="6" t="s">
        <v>458</v>
      </c>
      <c r="J54" s="6" t="s">
        <v>459</v>
      </c>
      <c r="K54" s="6"/>
      <c r="L54" s="47"/>
      <c r="M54" s="47"/>
      <c r="N54" s="47"/>
      <c r="O54" s="47"/>
      <c r="P54" s="34" t="s">
        <v>611</v>
      </c>
    </row>
    <row r="55" spans="1:16">
      <c r="A55" s="38" t="s">
        <v>550</v>
      </c>
      <c r="B55" s="31" t="s">
        <v>553</v>
      </c>
      <c r="C55" s="34" t="s">
        <v>51</v>
      </c>
      <c r="D55" s="6" t="s">
        <v>40</v>
      </c>
      <c r="E55" s="6" t="s">
        <v>429</v>
      </c>
      <c r="F55" s="6" t="s">
        <v>450</v>
      </c>
      <c r="G55" s="6" t="s">
        <v>451</v>
      </c>
      <c r="H55" s="34"/>
      <c r="I55" s="6"/>
      <c r="J55" s="6" t="s">
        <v>612</v>
      </c>
      <c r="K55" s="6"/>
      <c r="L55" s="6"/>
      <c r="M55" s="47"/>
      <c r="N55" s="47"/>
      <c r="O55" s="47"/>
      <c r="P55" s="34" t="s">
        <v>613</v>
      </c>
    </row>
    <row r="56" spans="1:16">
      <c r="A56" s="39" t="s">
        <v>550</v>
      </c>
      <c r="B56" s="75" t="s">
        <v>559</v>
      </c>
      <c r="C56" s="34" t="s">
        <v>51</v>
      </c>
      <c r="D56" s="6" t="s">
        <v>209</v>
      </c>
      <c r="E56" s="79" t="s">
        <v>355</v>
      </c>
      <c r="F56" s="6" t="s">
        <v>614</v>
      </c>
      <c r="G56" s="6" t="s">
        <v>615</v>
      </c>
      <c r="H56" s="6" t="s">
        <v>616</v>
      </c>
      <c r="I56" s="34"/>
      <c r="J56" s="6" t="s">
        <v>617</v>
      </c>
      <c r="K56" s="47"/>
      <c r="L56" s="47"/>
      <c r="M56" s="47"/>
      <c r="N56" s="47"/>
      <c r="O56" s="47"/>
      <c r="P56" s="34" t="s">
        <v>611</v>
      </c>
    </row>
    <row r="57" spans="1:16">
      <c r="A57" s="43" t="s">
        <v>618</v>
      </c>
      <c r="B57" s="31" t="s">
        <v>619</v>
      </c>
      <c r="C57" s="34" t="s">
        <v>51</v>
      </c>
      <c r="D57" s="6" t="s">
        <v>40</v>
      </c>
      <c r="E57" s="6" t="s">
        <v>620</v>
      </c>
      <c r="F57" s="6" t="s">
        <v>156</v>
      </c>
      <c r="G57" s="6" t="s">
        <v>621</v>
      </c>
      <c r="H57" s="34"/>
      <c r="I57" s="34" t="s">
        <v>622</v>
      </c>
      <c r="J57" s="6" t="s">
        <v>623</v>
      </c>
      <c r="K57" s="47"/>
      <c r="L57" s="47"/>
      <c r="M57" s="47"/>
      <c r="N57" s="47"/>
      <c r="O57" s="47"/>
      <c r="P57" s="34" t="s">
        <v>542</v>
      </c>
    </row>
    <row r="58" spans="1:16">
      <c r="A58" s="43" t="s">
        <v>618</v>
      </c>
      <c r="B58" s="31" t="s">
        <v>624</v>
      </c>
      <c r="C58" s="34" t="s">
        <v>51</v>
      </c>
      <c r="D58" s="6" t="s">
        <v>40</v>
      </c>
      <c r="E58" s="6">
        <v>2600</v>
      </c>
      <c r="F58" s="6">
        <v>2611</v>
      </c>
      <c r="G58" s="6" t="s">
        <v>378</v>
      </c>
      <c r="H58" s="6"/>
      <c r="I58" s="6"/>
      <c r="J58" s="6" t="s">
        <v>379</v>
      </c>
      <c r="K58" s="6"/>
      <c r="L58" s="47"/>
      <c r="M58" s="47"/>
      <c r="N58" s="47"/>
      <c r="O58" s="47"/>
      <c r="P58" s="34" t="s">
        <v>542</v>
      </c>
    </row>
    <row r="59" spans="1:16">
      <c r="A59" s="43" t="s">
        <v>625</v>
      </c>
      <c r="B59" s="92" t="s">
        <v>626</v>
      </c>
      <c r="C59" s="34" t="s">
        <v>51</v>
      </c>
      <c r="D59" s="6" t="s">
        <v>209</v>
      </c>
      <c r="E59" s="79" t="s">
        <v>128</v>
      </c>
      <c r="F59" s="6" t="s">
        <v>129</v>
      </c>
      <c r="G59" s="6" t="s">
        <v>210</v>
      </c>
      <c r="H59" s="6" t="s">
        <v>627</v>
      </c>
      <c r="I59" s="6" t="s">
        <v>211</v>
      </c>
      <c r="J59" s="6" t="s">
        <v>617</v>
      </c>
      <c r="K59" s="6" t="s">
        <v>133</v>
      </c>
      <c r="L59" s="6" t="s">
        <v>134</v>
      </c>
      <c r="M59" s="47"/>
      <c r="N59" s="47"/>
      <c r="O59" s="47"/>
      <c r="P59" s="34" t="s">
        <v>542</v>
      </c>
    </row>
    <row r="60" spans="1:16">
      <c r="A60" s="44" t="s">
        <v>628</v>
      </c>
      <c r="B60" s="75" t="s">
        <v>629</v>
      </c>
      <c r="C60" s="34" t="s">
        <v>51</v>
      </c>
      <c r="D60" s="6" t="s">
        <v>40</v>
      </c>
      <c r="E60" s="6" t="s">
        <v>313</v>
      </c>
      <c r="F60" s="6" t="s">
        <v>314</v>
      </c>
      <c r="G60" s="6" t="s">
        <v>315</v>
      </c>
      <c r="H60" s="6" t="s">
        <v>316</v>
      </c>
      <c r="I60" s="6" t="s">
        <v>317</v>
      </c>
      <c r="J60" s="6" t="s">
        <v>319</v>
      </c>
      <c r="K60" s="6"/>
      <c r="L60" s="47"/>
      <c r="M60" s="47"/>
      <c r="N60" s="47"/>
      <c r="O60" s="47"/>
      <c r="P60" s="34" t="s">
        <v>630</v>
      </c>
    </row>
    <row r="61" spans="1:16">
      <c r="A61" s="45" t="s">
        <v>628</v>
      </c>
      <c r="B61" s="31" t="s">
        <v>631</v>
      </c>
      <c r="C61" s="34" t="s">
        <v>51</v>
      </c>
      <c r="D61" s="6" t="s">
        <v>40</v>
      </c>
      <c r="E61" s="34" t="s">
        <v>429</v>
      </c>
      <c r="F61" s="6" t="s">
        <v>120</v>
      </c>
      <c r="G61" s="6" t="s">
        <v>632</v>
      </c>
      <c r="H61" s="34"/>
      <c r="I61" s="34"/>
      <c r="J61" s="6" t="s">
        <v>633</v>
      </c>
      <c r="K61" s="47"/>
      <c r="L61" s="47"/>
      <c r="M61" s="47"/>
      <c r="N61" s="47"/>
      <c r="O61" s="47"/>
      <c r="P61" s="34" t="s">
        <v>630</v>
      </c>
    </row>
    <row r="62" spans="1:16">
      <c r="A62" s="46" t="s">
        <v>628</v>
      </c>
      <c r="B62" s="75" t="s">
        <v>634</v>
      </c>
      <c r="C62" s="34" t="s">
        <v>51</v>
      </c>
      <c r="D62" s="34" t="s">
        <v>209</v>
      </c>
      <c r="E62" s="89" t="s">
        <v>355</v>
      </c>
      <c r="F62" s="34" t="s">
        <v>614</v>
      </c>
      <c r="G62" s="34" t="s">
        <v>635</v>
      </c>
      <c r="H62" s="34" t="s">
        <v>636</v>
      </c>
      <c r="I62" s="34"/>
      <c r="J62" s="6" t="s">
        <v>617</v>
      </c>
      <c r="K62" s="47"/>
      <c r="L62" s="47"/>
      <c r="M62" s="47"/>
      <c r="N62" s="47"/>
      <c r="O62" s="47"/>
      <c r="P62" s="34" t="s">
        <v>630</v>
      </c>
    </row>
    <row r="63" spans="1:16">
      <c r="A63" s="56" t="s">
        <v>561</v>
      </c>
      <c r="B63" s="75" t="s">
        <v>637</v>
      </c>
      <c r="C63" s="34" t="s">
        <v>51</v>
      </c>
      <c r="D63" s="6" t="s">
        <v>40</v>
      </c>
      <c r="E63" s="6">
        <v>1800</v>
      </c>
      <c r="F63" s="6">
        <v>1841</v>
      </c>
      <c r="G63" s="6" t="s">
        <v>371</v>
      </c>
      <c r="H63" s="6"/>
      <c r="I63" s="6"/>
      <c r="J63" s="6" t="s">
        <v>638</v>
      </c>
      <c r="K63" s="47"/>
      <c r="L63" s="47"/>
      <c r="M63" s="47"/>
      <c r="N63" s="47"/>
      <c r="O63" s="47"/>
      <c r="P63" s="34" t="s">
        <v>565</v>
      </c>
    </row>
    <row r="64" spans="1:16">
      <c r="A64" s="56" t="s">
        <v>561</v>
      </c>
      <c r="B64" s="75" t="s">
        <v>639</v>
      </c>
      <c r="C64" s="34" t="s">
        <v>51</v>
      </c>
      <c r="D64" s="34" t="s">
        <v>40</v>
      </c>
      <c r="E64" s="34">
        <v>1800</v>
      </c>
      <c r="F64" s="34">
        <v>1841</v>
      </c>
      <c r="G64" s="34" t="s">
        <v>640</v>
      </c>
      <c r="H64" s="34"/>
      <c r="I64" s="34"/>
      <c r="J64" s="34" t="s">
        <v>638</v>
      </c>
      <c r="K64" s="47"/>
      <c r="L64" s="47"/>
      <c r="M64" s="47"/>
      <c r="N64" s="47"/>
      <c r="O64" s="47"/>
      <c r="P64" s="34" t="s">
        <v>565</v>
      </c>
    </row>
    <row r="65" spans="1:16">
      <c r="A65" s="56" t="s">
        <v>561</v>
      </c>
      <c r="B65" s="75" t="s">
        <v>641</v>
      </c>
      <c r="C65" s="34" t="s">
        <v>51</v>
      </c>
      <c r="D65" s="34" t="s">
        <v>40</v>
      </c>
      <c r="E65" s="34">
        <v>1800</v>
      </c>
      <c r="F65" s="34">
        <v>1841</v>
      </c>
      <c r="G65" s="34" t="s">
        <v>69</v>
      </c>
      <c r="H65" s="34"/>
      <c r="I65" s="34"/>
      <c r="J65" s="34" t="s">
        <v>642</v>
      </c>
      <c r="K65" s="47"/>
      <c r="L65" s="47"/>
      <c r="M65" s="47"/>
      <c r="N65" s="47"/>
      <c r="O65" s="47"/>
      <c r="P65" s="34" t="s">
        <v>643</v>
      </c>
    </row>
    <row r="66" spans="1:16">
      <c r="A66" s="57" t="s">
        <v>644</v>
      </c>
      <c r="B66" s="31" t="s">
        <v>645</v>
      </c>
      <c r="C66" s="34" t="s">
        <v>51</v>
      </c>
      <c r="D66" s="6" t="s">
        <v>40</v>
      </c>
      <c r="E66" s="6">
        <v>1000</v>
      </c>
      <c r="F66" s="16" t="s">
        <v>345</v>
      </c>
      <c r="G66" s="6" t="s">
        <v>346</v>
      </c>
      <c r="H66" s="6"/>
      <c r="I66" s="6"/>
      <c r="J66" s="6" t="s">
        <v>347</v>
      </c>
      <c r="K66" s="47"/>
      <c r="L66" s="47"/>
      <c r="M66" s="47"/>
      <c r="N66" s="47"/>
      <c r="O66" s="47"/>
      <c r="P66" s="34" t="s">
        <v>643</v>
      </c>
    </row>
    <row r="67" spans="1:16">
      <c r="A67" s="74" t="s">
        <v>646</v>
      </c>
      <c r="B67" s="77" t="s">
        <v>647</v>
      </c>
      <c r="C67" s="59" t="s">
        <v>51</v>
      </c>
      <c r="D67" s="59" t="s">
        <v>482</v>
      </c>
      <c r="E67" s="59">
        <v>1000</v>
      </c>
      <c r="F67" s="59" t="s">
        <v>648</v>
      </c>
      <c r="G67" s="59" t="s">
        <v>350</v>
      </c>
      <c r="H67" s="59" t="s">
        <v>649</v>
      </c>
      <c r="I67" s="59"/>
      <c r="J67" s="59" t="s">
        <v>650</v>
      </c>
      <c r="K67" s="31" t="s">
        <v>651</v>
      </c>
      <c r="L67" s="31" t="s">
        <v>82</v>
      </c>
      <c r="M67" s="31"/>
      <c r="N67" s="31"/>
      <c r="O67" s="31"/>
      <c r="P67" s="31" t="s">
        <v>565</v>
      </c>
    </row>
    <row r="68" spans="1:16">
      <c r="A68" s="9"/>
      <c r="B68" s="9"/>
      <c r="C68" s="9"/>
      <c r="D68" s="9"/>
      <c r="E68" s="9"/>
      <c r="F68" s="85"/>
      <c r="G68" s="86"/>
      <c r="H68" s="83"/>
      <c r="I68" s="83"/>
      <c r="J68" s="9"/>
      <c r="K68" s="9"/>
      <c r="L68" s="9"/>
      <c r="M68" s="9"/>
      <c r="N68" s="9"/>
      <c r="O68" s="9"/>
      <c r="P68" s="9"/>
    </row>
    <row r="69" spans="1:16">
      <c r="A69" s="93" t="s">
        <v>652</v>
      </c>
      <c r="B69" s="9"/>
      <c r="C69" s="9" t="s">
        <v>51</v>
      </c>
      <c r="D69" s="9" t="s">
        <v>482</v>
      </c>
      <c r="E69" s="9" t="s">
        <v>653</v>
      </c>
      <c r="F69" s="84" t="s">
        <v>654</v>
      </c>
      <c r="G69" s="82" t="s">
        <v>448</v>
      </c>
      <c r="H69" s="83" t="s">
        <v>655</v>
      </c>
      <c r="I69" s="83" t="s">
        <v>656</v>
      </c>
      <c r="J69" s="9" t="s">
        <v>657</v>
      </c>
      <c r="K69" s="9" t="s">
        <v>658</v>
      </c>
      <c r="L69" s="9" t="s">
        <v>495</v>
      </c>
      <c r="M69" s="9"/>
      <c r="N69" s="9"/>
      <c r="O69" s="9"/>
      <c r="P69" s="9"/>
    </row>
    <row r="70" spans="1:16">
      <c r="A70" s="93" t="s">
        <v>652</v>
      </c>
      <c r="B70" s="9"/>
      <c r="C70" s="9" t="s">
        <v>51</v>
      </c>
      <c r="D70" s="9" t="s">
        <v>482</v>
      </c>
      <c r="E70" s="9" t="s">
        <v>430</v>
      </c>
      <c r="F70" s="87" t="s">
        <v>659</v>
      </c>
      <c r="G70" s="88" t="s">
        <v>431</v>
      </c>
      <c r="H70" s="83"/>
      <c r="I70" s="83"/>
      <c r="J70" s="9" t="s">
        <v>660</v>
      </c>
      <c r="K70" s="9"/>
      <c r="L70" s="9"/>
      <c r="M70" s="9"/>
      <c r="N70" s="9"/>
      <c r="O70" s="9"/>
      <c r="P70" s="9"/>
    </row>
    <row r="71" spans="1:16">
      <c r="A71" s="73" t="s">
        <v>661</v>
      </c>
      <c r="B71" s="75" t="s">
        <v>662</v>
      </c>
      <c r="C71" s="31" t="s">
        <v>51</v>
      </c>
      <c r="D71" s="31" t="s">
        <v>522</v>
      </c>
      <c r="E71" s="78" t="s">
        <v>355</v>
      </c>
      <c r="F71" s="31"/>
      <c r="G71" s="31"/>
      <c r="H71" s="31"/>
      <c r="I71" s="31"/>
      <c r="J71" s="31"/>
      <c r="K71" s="71"/>
      <c r="L71" s="71"/>
      <c r="M71" s="71"/>
      <c r="N71" s="71"/>
      <c r="O71" s="71"/>
      <c r="P71" s="72"/>
    </row>
    <row r="72" spans="1:16">
      <c r="A72" s="73" t="s">
        <v>661</v>
      </c>
      <c r="B72" s="75" t="s">
        <v>663</v>
      </c>
      <c r="C72" s="31" t="s">
        <v>51</v>
      </c>
      <c r="D72" s="31" t="s">
        <v>482</v>
      </c>
      <c r="E72" s="31" t="s">
        <v>664</v>
      </c>
      <c r="F72" s="31" t="s">
        <v>665</v>
      </c>
      <c r="G72" s="31" t="s">
        <v>666</v>
      </c>
      <c r="H72" s="31" t="s">
        <v>667</v>
      </c>
      <c r="I72" s="31"/>
      <c r="J72" s="31" t="s">
        <v>668</v>
      </c>
      <c r="K72" s="71"/>
      <c r="L72" s="71"/>
      <c r="M72" s="71"/>
      <c r="N72" s="71"/>
      <c r="O72" s="71"/>
      <c r="P72" s="72"/>
    </row>
    <row r="73" spans="1:16">
      <c r="A73" s="73" t="s">
        <v>661</v>
      </c>
      <c r="B73" s="75" t="s">
        <v>669</v>
      </c>
      <c r="C73" s="31" t="s">
        <v>51</v>
      </c>
      <c r="D73" s="31" t="s">
        <v>40</v>
      </c>
      <c r="E73" s="59">
        <v>1000</v>
      </c>
      <c r="F73" s="59" t="s">
        <v>648</v>
      </c>
      <c r="G73" s="31" t="s">
        <v>670</v>
      </c>
      <c r="H73" s="31" t="s">
        <v>671</v>
      </c>
      <c r="I73" s="31"/>
      <c r="J73" s="59" t="s">
        <v>650</v>
      </c>
      <c r="K73" s="31" t="s">
        <v>651</v>
      </c>
      <c r="L73" s="31" t="s">
        <v>82</v>
      </c>
      <c r="M73" s="71"/>
      <c r="N73" s="71"/>
      <c r="O73" s="71"/>
      <c r="P73" s="72"/>
    </row>
    <row r="74" spans="1:16">
      <c r="A74" s="93" t="s">
        <v>652</v>
      </c>
      <c r="B74" s="9"/>
      <c r="C74" s="9" t="s">
        <v>51</v>
      </c>
      <c r="D74" s="9" t="s">
        <v>40</v>
      </c>
      <c r="E74" s="9" t="s">
        <v>672</v>
      </c>
      <c r="F74" s="31" t="s">
        <v>665</v>
      </c>
      <c r="G74" s="9" t="s">
        <v>673</v>
      </c>
      <c r="H74" s="9" t="s">
        <v>674</v>
      </c>
      <c r="I74" s="9"/>
      <c r="J74" s="9"/>
      <c r="K74" s="9"/>
      <c r="L74" s="9"/>
      <c r="M74" s="9"/>
      <c r="N74" s="9"/>
      <c r="O74" s="9"/>
      <c r="P74" s="9"/>
    </row>
    <row r="75" spans="1:16">
      <c r="A75" s="93" t="s">
        <v>652</v>
      </c>
      <c r="B75" s="9"/>
      <c r="C75" s="9" t="s">
        <v>51</v>
      </c>
      <c r="D75" s="9" t="s">
        <v>482</v>
      </c>
      <c r="E75" s="9">
        <v>1000</v>
      </c>
      <c r="F75" s="59" t="s">
        <v>675</v>
      </c>
      <c r="G75" s="9" t="s">
        <v>676</v>
      </c>
      <c r="H75" s="9" t="s">
        <v>677</v>
      </c>
      <c r="I75" s="9"/>
      <c r="J75" s="9"/>
      <c r="K75" s="9"/>
      <c r="L75" s="9"/>
      <c r="M75" s="9"/>
      <c r="N75" s="9"/>
      <c r="O75" s="9"/>
      <c r="P75" s="9"/>
    </row>
    <row r="76" spans="1:16">
      <c r="A76" s="9" t="s">
        <v>652</v>
      </c>
      <c r="B76" s="9"/>
      <c r="C76" s="9" t="s">
        <v>206</v>
      </c>
      <c r="D76" s="9" t="s">
        <v>482</v>
      </c>
      <c r="E76" s="9" t="s">
        <v>653</v>
      </c>
      <c r="F76" s="9"/>
      <c r="G76" s="9"/>
      <c r="H76" s="9" t="s">
        <v>678</v>
      </c>
      <c r="I76" s="9"/>
      <c r="J76" s="9"/>
      <c r="K76" s="9"/>
      <c r="L76" s="9"/>
      <c r="M76" s="9"/>
      <c r="N76" s="9"/>
      <c r="O76" s="9"/>
      <c r="P76" s="9"/>
    </row>
    <row r="77" spans="1:1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1:1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1:1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1:1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1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1:1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1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1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1:1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1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1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1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1:1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spans="1:1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1:1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spans="1:1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1:1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1:1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spans="1:1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spans="1:1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1:1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1:1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</sheetData>
  <mergeCells count="5">
    <mergeCell ref="A40:P41"/>
    <mergeCell ref="A11:P12"/>
    <mergeCell ref="D3:E3"/>
    <mergeCell ref="A1:C1"/>
    <mergeCell ref="D6:G7"/>
  </mergeCells>
  <hyperlinks>
    <hyperlink ref="B6" r:id="rId1" display="mailto:julien.magnier@std.heh.be" xr:uid="{A905563D-0A9B-447A-8066-454CC048A1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3987-8836-4ACF-A375-93D0A5781B9C}">
  <dimension ref="A1:T80"/>
  <sheetViews>
    <sheetView tabSelected="1" topLeftCell="A11" workbookViewId="0">
      <selection activeCell="E31" sqref="E31"/>
    </sheetView>
  </sheetViews>
  <sheetFormatPr defaultRowHeight="15"/>
  <cols>
    <col min="1" max="1" width="77.85546875" customWidth="1"/>
    <col min="2" max="2" width="22.42578125" bestFit="1" customWidth="1"/>
    <col min="3" max="3" width="20.7109375" customWidth="1"/>
    <col min="4" max="4" width="28.5703125" bestFit="1" customWidth="1"/>
    <col min="5" max="5" width="26" bestFit="1" customWidth="1"/>
    <col min="6" max="6" width="26.140625" customWidth="1"/>
    <col min="7" max="7" width="20.85546875" bestFit="1" customWidth="1"/>
    <col min="8" max="8" width="41" bestFit="1" customWidth="1"/>
    <col min="9" max="9" width="43.7109375" bestFit="1" customWidth="1"/>
    <col min="10" max="10" width="19.5703125" customWidth="1"/>
    <col min="11" max="11" width="15.85546875" bestFit="1" customWidth="1"/>
    <col min="12" max="12" width="26" customWidth="1"/>
    <col min="13" max="14" width="30.140625" customWidth="1"/>
    <col min="15" max="15" width="15.85546875" customWidth="1"/>
    <col min="16" max="16" width="27.85546875" customWidth="1"/>
    <col min="17" max="17" width="35.42578125" customWidth="1"/>
    <col min="18" max="18" width="20.140625" customWidth="1"/>
    <col min="19" max="19" width="15.7109375" customWidth="1"/>
    <col min="20" max="20" width="21.7109375" customWidth="1"/>
  </cols>
  <sheetData>
    <row r="1" spans="1:20" ht="18.75">
      <c r="A1" t="s">
        <v>541</v>
      </c>
      <c r="B1" s="130" t="s">
        <v>679</v>
      </c>
      <c r="C1" s="131" t="s">
        <v>20</v>
      </c>
      <c r="D1" s="131" t="s">
        <v>680</v>
      </c>
      <c r="E1" s="131" t="s">
        <v>22</v>
      </c>
      <c r="F1" s="131" t="s">
        <v>23</v>
      </c>
      <c r="G1" s="131" t="s">
        <v>681</v>
      </c>
      <c r="H1" s="131" t="s">
        <v>26</v>
      </c>
      <c r="I1" s="131" t="s">
        <v>28</v>
      </c>
      <c r="J1" s="131" t="s">
        <v>30</v>
      </c>
      <c r="K1" s="131" t="s">
        <v>682</v>
      </c>
      <c r="L1" s="132" t="s">
        <v>683</v>
      </c>
      <c r="M1" s="130" t="s">
        <v>684</v>
      </c>
      <c r="N1" s="130" t="s">
        <v>685</v>
      </c>
      <c r="O1" s="130" t="s">
        <v>686</v>
      </c>
      <c r="P1" s="139" t="s">
        <v>687</v>
      </c>
      <c r="Q1" s="133" t="s">
        <v>688</v>
      </c>
      <c r="R1" s="133" t="s">
        <v>689</v>
      </c>
    </row>
    <row r="2" spans="1:20" ht="17.25">
      <c r="B2" s="121" t="s">
        <v>690</v>
      </c>
      <c r="C2" s="121" t="s">
        <v>40</v>
      </c>
      <c r="D2" s="123" t="s">
        <v>691</v>
      </c>
      <c r="E2" s="121"/>
      <c r="F2" s="121" t="s">
        <v>150</v>
      </c>
      <c r="G2" s="121" t="s">
        <v>151</v>
      </c>
      <c r="H2" s="121" t="s">
        <v>107</v>
      </c>
      <c r="I2" s="121" t="s">
        <v>692</v>
      </c>
      <c r="J2" s="121" t="s">
        <v>488</v>
      </c>
      <c r="K2" s="121" t="s">
        <v>693</v>
      </c>
      <c r="L2" s="122" t="s">
        <v>694</v>
      </c>
      <c r="M2" s="121"/>
      <c r="N2" s="121"/>
      <c r="O2" s="122">
        <v>1</v>
      </c>
      <c r="P2" s="140"/>
      <c r="Q2" s="133" t="s">
        <v>695</v>
      </c>
      <c r="R2" t="s">
        <v>694</v>
      </c>
      <c r="S2" t="s">
        <v>696</v>
      </c>
      <c r="T2" t="s">
        <v>697</v>
      </c>
    </row>
    <row r="3" spans="1:20" ht="17.25">
      <c r="B3" s="121" t="s">
        <v>690</v>
      </c>
      <c r="C3" s="121" t="s">
        <v>40</v>
      </c>
      <c r="D3" s="123" t="s">
        <v>691</v>
      </c>
      <c r="E3" s="121"/>
      <c r="F3" s="121" t="s">
        <v>484</v>
      </c>
      <c r="G3" s="121" t="s">
        <v>485</v>
      </c>
      <c r="H3" s="121" t="s">
        <v>698</v>
      </c>
      <c r="I3" s="121" t="s">
        <v>692</v>
      </c>
      <c r="J3" s="121" t="s">
        <v>488</v>
      </c>
      <c r="K3" s="121" t="s">
        <v>693</v>
      </c>
      <c r="L3" s="122" t="s">
        <v>694</v>
      </c>
      <c r="M3" s="121"/>
      <c r="N3" s="121"/>
      <c r="O3" s="122">
        <v>1</v>
      </c>
      <c r="P3" s="140"/>
      <c r="Q3" s="120" t="s">
        <v>699</v>
      </c>
      <c r="R3">
        <v>5</v>
      </c>
      <c r="S3">
        <v>5</v>
      </c>
      <c r="T3">
        <v>10</v>
      </c>
    </row>
    <row r="4" spans="1:20" ht="17.25">
      <c r="B4" s="121" t="s">
        <v>690</v>
      </c>
      <c r="C4" s="121" t="s">
        <v>40</v>
      </c>
      <c r="D4" s="123" t="s">
        <v>700</v>
      </c>
      <c r="E4" s="121"/>
      <c r="F4" s="121" t="s">
        <v>454</v>
      </c>
      <c r="G4" s="121" t="s">
        <v>541</v>
      </c>
      <c r="H4" s="121" t="s">
        <v>701</v>
      </c>
      <c r="I4" s="121" t="s">
        <v>702</v>
      </c>
      <c r="J4" s="121"/>
      <c r="K4" s="121" t="s">
        <v>693</v>
      </c>
      <c r="L4" s="122" t="s">
        <v>694</v>
      </c>
      <c r="M4" s="121"/>
      <c r="N4" s="121" t="s">
        <v>512</v>
      </c>
      <c r="O4" s="122">
        <v>1</v>
      </c>
      <c r="P4" s="140"/>
      <c r="Q4" s="120" t="s">
        <v>366</v>
      </c>
      <c r="R4">
        <v>22</v>
      </c>
      <c r="S4">
        <v>9</v>
      </c>
      <c r="T4">
        <v>31</v>
      </c>
    </row>
    <row r="5" spans="1:20" ht="15.75">
      <c r="B5" s="121" t="s">
        <v>690</v>
      </c>
      <c r="C5" s="121" t="s">
        <v>40</v>
      </c>
      <c r="D5" s="121" t="s">
        <v>700</v>
      </c>
      <c r="E5" s="121"/>
      <c r="F5" s="121" t="s">
        <v>327</v>
      </c>
      <c r="G5" s="121" t="s">
        <v>552</v>
      </c>
      <c r="H5" s="121" t="s">
        <v>703</v>
      </c>
      <c r="I5" s="121" t="s">
        <v>704</v>
      </c>
      <c r="J5" s="121"/>
      <c r="K5" s="121" t="s">
        <v>693</v>
      </c>
      <c r="L5" s="122" t="s">
        <v>694</v>
      </c>
      <c r="M5" s="121"/>
      <c r="N5" s="121"/>
      <c r="O5" s="122">
        <v>1</v>
      </c>
      <c r="P5" s="140"/>
      <c r="Q5" s="120" t="s">
        <v>690</v>
      </c>
      <c r="R5">
        <v>8</v>
      </c>
      <c r="S5">
        <v>8</v>
      </c>
      <c r="T5">
        <v>16</v>
      </c>
    </row>
    <row r="6" spans="1:20" ht="36">
      <c r="B6" s="121" t="s">
        <v>705</v>
      </c>
      <c r="C6" s="121" t="s">
        <v>40</v>
      </c>
      <c r="D6" s="121" t="s">
        <v>706</v>
      </c>
      <c r="E6" s="123" t="s">
        <v>707</v>
      </c>
      <c r="F6" s="121" t="s">
        <v>461</v>
      </c>
      <c r="G6" s="121" t="s">
        <v>527</v>
      </c>
      <c r="H6" s="121" t="s">
        <v>708</v>
      </c>
      <c r="I6" s="121" t="s">
        <v>692</v>
      </c>
      <c r="J6" s="121"/>
      <c r="K6" s="121"/>
      <c r="L6" s="122" t="s">
        <v>694</v>
      </c>
      <c r="M6" s="121"/>
      <c r="N6" s="121"/>
      <c r="O6" s="122">
        <v>1</v>
      </c>
      <c r="P6" s="140"/>
      <c r="Q6" s="120" t="s">
        <v>705</v>
      </c>
      <c r="R6">
        <v>4</v>
      </c>
      <c r="S6">
        <v>3</v>
      </c>
      <c r="T6">
        <v>7</v>
      </c>
    </row>
    <row r="7" spans="1:20" ht="36">
      <c r="B7" s="121" t="s">
        <v>705</v>
      </c>
      <c r="C7" s="121" t="s">
        <v>40</v>
      </c>
      <c r="D7" s="121" t="s">
        <v>706</v>
      </c>
      <c r="E7" s="123" t="s">
        <v>707</v>
      </c>
      <c r="F7" s="121" t="s">
        <v>425</v>
      </c>
      <c r="G7" s="121" t="s">
        <v>498</v>
      </c>
      <c r="H7" s="121" t="s">
        <v>709</v>
      </c>
      <c r="I7" s="121" t="s">
        <v>692</v>
      </c>
      <c r="J7" s="121" t="s">
        <v>710</v>
      </c>
      <c r="K7" s="121" t="s">
        <v>693</v>
      </c>
      <c r="L7" s="122" t="s">
        <v>694</v>
      </c>
      <c r="M7" s="121"/>
      <c r="N7" s="121"/>
      <c r="O7" s="122">
        <v>1</v>
      </c>
      <c r="P7" s="140"/>
      <c r="Q7" s="120" t="s">
        <v>697</v>
      </c>
      <c r="R7">
        <v>39</v>
      </c>
      <c r="S7">
        <v>25</v>
      </c>
      <c r="T7">
        <v>64</v>
      </c>
    </row>
    <row r="8" spans="1:20" ht="15.75">
      <c r="B8" s="121" t="s">
        <v>705</v>
      </c>
      <c r="C8" s="121" t="s">
        <v>40</v>
      </c>
      <c r="D8" s="121" t="s">
        <v>706</v>
      </c>
      <c r="E8" s="124" t="s">
        <v>707</v>
      </c>
      <c r="F8" s="121" t="s">
        <v>492</v>
      </c>
      <c r="G8" s="125" t="s">
        <v>493</v>
      </c>
      <c r="H8" s="121" t="s">
        <v>711</v>
      </c>
      <c r="I8" s="121" t="s">
        <v>692</v>
      </c>
      <c r="J8" s="121" t="s">
        <v>710</v>
      </c>
      <c r="K8" s="121" t="s">
        <v>693</v>
      </c>
      <c r="L8" s="122" t="s">
        <v>694</v>
      </c>
      <c r="M8" s="126"/>
      <c r="N8" s="126"/>
      <c r="O8" s="122">
        <v>1</v>
      </c>
      <c r="P8" s="140"/>
    </row>
    <row r="9" spans="1:20" ht="15.75">
      <c r="B9" s="121" t="s">
        <v>705</v>
      </c>
      <c r="C9" s="121" t="s">
        <v>40</v>
      </c>
      <c r="D9" s="121" t="s">
        <v>706</v>
      </c>
      <c r="E9" s="121"/>
      <c r="F9" s="121" t="s">
        <v>712</v>
      </c>
      <c r="G9" s="121" t="s">
        <v>99</v>
      </c>
      <c r="H9" s="121" t="s">
        <v>713</v>
      </c>
      <c r="I9" s="121" t="s">
        <v>692</v>
      </c>
      <c r="J9" s="121" t="s">
        <v>710</v>
      </c>
      <c r="K9" s="121" t="s">
        <v>693</v>
      </c>
      <c r="L9" s="122" t="s">
        <v>694</v>
      </c>
      <c r="M9" s="121"/>
      <c r="N9" s="121" t="s">
        <v>618</v>
      </c>
      <c r="O9" s="122">
        <v>1</v>
      </c>
      <c r="P9" s="140"/>
    </row>
    <row r="10" spans="1:20" ht="17.25">
      <c r="B10" s="121" t="s">
        <v>366</v>
      </c>
      <c r="C10" s="121" t="s">
        <v>40</v>
      </c>
      <c r="D10" s="121" t="s">
        <v>714</v>
      </c>
      <c r="E10" s="121" t="s">
        <v>554</v>
      </c>
      <c r="F10" s="121" t="s">
        <v>715</v>
      </c>
      <c r="G10" s="121" t="s">
        <v>716</v>
      </c>
      <c r="H10" s="123" t="s">
        <v>717</v>
      </c>
      <c r="I10" s="121"/>
      <c r="J10" s="121" t="s">
        <v>532</v>
      </c>
      <c r="K10" s="121" t="s">
        <v>718</v>
      </c>
      <c r="L10" s="122" t="s">
        <v>694</v>
      </c>
      <c r="M10" s="121"/>
      <c r="N10" s="121"/>
      <c r="O10" s="122">
        <v>0</v>
      </c>
      <c r="P10" s="140"/>
      <c r="Q10" s="170" t="s">
        <v>719</v>
      </c>
      <c r="R10" s="170"/>
    </row>
    <row r="11" spans="1:20" ht="15.75">
      <c r="B11" s="121" t="s">
        <v>366</v>
      </c>
      <c r="C11" s="121" t="s">
        <v>40</v>
      </c>
      <c r="D11" s="124" t="s">
        <v>714</v>
      </c>
      <c r="E11" s="121" t="s">
        <v>554</v>
      </c>
      <c r="F11" s="121" t="s">
        <v>720</v>
      </c>
      <c r="G11" s="121" t="s">
        <v>721</v>
      </c>
      <c r="H11" s="121" t="s">
        <v>717</v>
      </c>
      <c r="I11" s="121" t="s">
        <v>557</v>
      </c>
      <c r="J11" s="121" t="s">
        <v>532</v>
      </c>
      <c r="K11" s="121" t="s">
        <v>718</v>
      </c>
      <c r="L11" s="122" t="s">
        <v>694</v>
      </c>
      <c r="M11" s="121"/>
      <c r="N11" s="121"/>
      <c r="O11" s="122">
        <v>0</v>
      </c>
      <c r="Q11" s="135" t="s">
        <v>686</v>
      </c>
      <c r="R11" s="134">
        <f>COUNTIF(Tableau1[Racké],"1")</f>
        <v>44</v>
      </c>
    </row>
    <row r="12" spans="1:20" ht="15.75">
      <c r="B12" s="121" t="s">
        <v>366</v>
      </c>
      <c r="C12" s="121" t="s">
        <v>40</v>
      </c>
      <c r="D12" s="124" t="s">
        <v>714</v>
      </c>
      <c r="E12" s="121" t="s">
        <v>554</v>
      </c>
      <c r="F12" s="121" t="s">
        <v>722</v>
      </c>
      <c r="G12" s="121" t="s">
        <v>723</v>
      </c>
      <c r="H12" s="121" t="s">
        <v>717</v>
      </c>
      <c r="I12" s="121" t="s">
        <v>557</v>
      </c>
      <c r="J12" s="121" t="s">
        <v>532</v>
      </c>
      <c r="K12" s="121" t="s">
        <v>724</v>
      </c>
      <c r="L12" s="122" t="s">
        <v>694</v>
      </c>
      <c r="M12" s="123"/>
      <c r="N12" s="123"/>
      <c r="O12" s="122">
        <v>0</v>
      </c>
      <c r="P12" s="140"/>
      <c r="Q12" s="135" t="s">
        <v>725</v>
      </c>
      <c r="R12" s="135">
        <f>COUNTIF(Tableau1[Racké],"0")</f>
        <v>24</v>
      </c>
    </row>
    <row r="13" spans="1:20" ht="17.25">
      <c r="B13" s="121" t="s">
        <v>366</v>
      </c>
      <c r="C13" s="121" t="s">
        <v>40</v>
      </c>
      <c r="D13" s="124" t="s">
        <v>714</v>
      </c>
      <c r="E13" s="121" t="s">
        <v>554</v>
      </c>
      <c r="F13" s="121" t="s">
        <v>726</v>
      </c>
      <c r="G13" s="123" t="s">
        <v>727</v>
      </c>
      <c r="H13" s="121" t="s">
        <v>717</v>
      </c>
      <c r="I13" s="121"/>
      <c r="J13" s="121"/>
      <c r="K13" s="121" t="s">
        <v>718</v>
      </c>
      <c r="L13" s="122" t="s">
        <v>694</v>
      </c>
      <c r="M13" s="121"/>
      <c r="N13" s="121"/>
      <c r="O13" s="122">
        <v>0</v>
      </c>
      <c r="P13" s="140"/>
    </row>
    <row r="14" spans="1:20" ht="15.75">
      <c r="B14" s="121" t="s">
        <v>366</v>
      </c>
      <c r="C14" s="121" t="s">
        <v>40</v>
      </c>
      <c r="D14" s="121" t="s">
        <v>714</v>
      </c>
      <c r="E14" s="121" t="s">
        <v>554</v>
      </c>
      <c r="F14" s="121" t="s">
        <v>728</v>
      </c>
      <c r="G14" s="121" t="s">
        <v>729</v>
      </c>
      <c r="H14" s="121" t="s">
        <v>717</v>
      </c>
      <c r="I14" s="121" t="s">
        <v>557</v>
      </c>
      <c r="J14" s="121" t="s">
        <v>532</v>
      </c>
      <c r="K14" s="121" t="s">
        <v>718</v>
      </c>
      <c r="L14" s="122" t="s">
        <v>694</v>
      </c>
      <c r="M14" s="121"/>
      <c r="N14" s="121"/>
      <c r="O14" s="122">
        <v>0</v>
      </c>
      <c r="P14" s="140"/>
      <c r="Q14" s="169" t="s">
        <v>730</v>
      </c>
      <c r="R14" s="169"/>
    </row>
    <row r="15" spans="1:20" ht="15.75">
      <c r="B15" s="121" t="s">
        <v>366</v>
      </c>
      <c r="C15" s="121" t="s">
        <v>40</v>
      </c>
      <c r="D15" s="121" t="s">
        <v>714</v>
      </c>
      <c r="E15" s="121" t="s">
        <v>554</v>
      </c>
      <c r="F15" s="121" t="s">
        <v>731</v>
      </c>
      <c r="G15" s="121" t="s">
        <v>732</v>
      </c>
      <c r="H15" s="121" t="s">
        <v>717</v>
      </c>
      <c r="I15" s="121" t="s">
        <v>557</v>
      </c>
      <c r="J15" s="121" t="s">
        <v>532</v>
      </c>
      <c r="K15" s="121" t="s">
        <v>718</v>
      </c>
      <c r="L15" s="122" t="s">
        <v>694</v>
      </c>
      <c r="M15" s="121"/>
      <c r="N15" s="121"/>
      <c r="O15" s="122">
        <v>0</v>
      </c>
      <c r="P15" s="140"/>
      <c r="Q15" s="136" t="str" cm="1">
        <f t="array" ref="Q15:Q36">_xlfn.UNIQUE(Tableau1[Gamme])</f>
        <v>Catalyst 2960 plus series</v>
      </c>
      <c r="R15" s="137">
        <f>COUNTIF(Tableau1[Gamme], Q15)</f>
        <v>5</v>
      </c>
    </row>
    <row r="16" spans="1:20" ht="15.75">
      <c r="B16" s="121" t="s">
        <v>366</v>
      </c>
      <c r="C16" s="121" t="s">
        <v>40</v>
      </c>
      <c r="D16" s="121" t="s">
        <v>714</v>
      </c>
      <c r="E16" s="121" t="s">
        <v>554</v>
      </c>
      <c r="F16" s="121" t="s">
        <v>733</v>
      </c>
      <c r="G16" s="121" t="s">
        <v>734</v>
      </c>
      <c r="H16" s="121" t="s">
        <v>717</v>
      </c>
      <c r="I16" s="121" t="s">
        <v>557</v>
      </c>
      <c r="J16" s="121" t="s">
        <v>532</v>
      </c>
      <c r="K16" s="121" t="s">
        <v>718</v>
      </c>
      <c r="L16" s="122" t="s">
        <v>694</v>
      </c>
      <c r="M16" s="121"/>
      <c r="N16" s="121"/>
      <c r="O16" s="122">
        <v>0</v>
      </c>
      <c r="P16" s="140"/>
      <c r="Q16" s="137" t="str">
        <v>Catalyst 2960 series</v>
      </c>
      <c r="R16" s="137">
        <f>COUNTIF(Tableau1[Gamme], Q16)</f>
        <v>2</v>
      </c>
    </row>
    <row r="17" spans="2:18" ht="15.75">
      <c r="B17" s="121" t="s">
        <v>366</v>
      </c>
      <c r="C17" s="121" t="s">
        <v>40</v>
      </c>
      <c r="D17" s="121" t="s">
        <v>714</v>
      </c>
      <c r="E17" s="121" t="s">
        <v>554</v>
      </c>
      <c r="F17" s="121" t="s">
        <v>735</v>
      </c>
      <c r="G17" s="121" t="s">
        <v>736</v>
      </c>
      <c r="H17" s="121" t="s">
        <v>717</v>
      </c>
      <c r="I17" s="121" t="s">
        <v>557</v>
      </c>
      <c r="J17" s="121" t="s">
        <v>532</v>
      </c>
      <c r="K17" s="121" t="s">
        <v>462</v>
      </c>
      <c r="L17" s="122" t="s">
        <v>694</v>
      </c>
      <c r="M17" s="121"/>
      <c r="N17" s="121"/>
      <c r="O17" s="122">
        <v>0</v>
      </c>
      <c r="P17" s="140"/>
      <c r="Q17" s="137" t="str">
        <v>Catalyst 3560 series</v>
      </c>
      <c r="R17" s="137">
        <f>COUNTIF(Tableau1[Gamme], Q17)</f>
        <v>5</v>
      </c>
    </row>
    <row r="18" spans="2:18" ht="15.75">
      <c r="B18" s="121" t="s">
        <v>366</v>
      </c>
      <c r="C18" s="121" t="s">
        <v>40</v>
      </c>
      <c r="D18" s="121" t="s">
        <v>714</v>
      </c>
      <c r="E18" s="121" t="s">
        <v>737</v>
      </c>
      <c r="F18" s="121" t="s">
        <v>518</v>
      </c>
      <c r="G18" s="121" t="s">
        <v>519</v>
      </c>
      <c r="H18" s="121"/>
      <c r="I18" s="121"/>
      <c r="J18" s="121"/>
      <c r="K18" s="121"/>
      <c r="L18" s="122" t="s">
        <v>694</v>
      </c>
      <c r="M18" s="121"/>
      <c r="N18" s="121"/>
      <c r="O18" s="122">
        <v>0</v>
      </c>
      <c r="P18" s="140"/>
      <c r="Q18" s="137" t="str">
        <v>ISR 1100</v>
      </c>
      <c r="R18" s="137">
        <f>COUNTIF(Tableau1[Gamme], Q18)</f>
        <v>16</v>
      </c>
    </row>
    <row r="19" spans="2:18" ht="15.75">
      <c r="B19" s="121" t="s">
        <v>366</v>
      </c>
      <c r="C19" s="121" t="s">
        <v>40</v>
      </c>
      <c r="D19" s="121" t="s">
        <v>714</v>
      </c>
      <c r="E19" s="121" t="s">
        <v>554</v>
      </c>
      <c r="F19" s="121" t="s">
        <v>738</v>
      </c>
      <c r="G19" s="121" t="s">
        <v>739</v>
      </c>
      <c r="H19" s="121" t="s">
        <v>717</v>
      </c>
      <c r="I19" s="121" t="s">
        <v>557</v>
      </c>
      <c r="J19" s="121" t="s">
        <v>532</v>
      </c>
      <c r="K19" s="121" t="s">
        <v>724</v>
      </c>
      <c r="L19" s="122" t="s">
        <v>694</v>
      </c>
      <c r="M19" s="121"/>
      <c r="N19" s="121"/>
      <c r="O19" s="122">
        <v>0</v>
      </c>
      <c r="P19" s="140"/>
      <c r="Q19" s="137" t="str">
        <v xml:space="preserve"> ISR4221</v>
      </c>
      <c r="R19" s="137">
        <f>COUNTIF(Tableau1[Gamme], Q19)</f>
        <v>3</v>
      </c>
    </row>
    <row r="20" spans="2:18" ht="15.75">
      <c r="B20" s="121" t="s">
        <v>366</v>
      </c>
      <c r="C20" s="121" t="s">
        <v>40</v>
      </c>
      <c r="D20" s="121" t="s">
        <v>714</v>
      </c>
      <c r="E20" s="121" t="s">
        <v>554</v>
      </c>
      <c r="F20" s="121" t="s">
        <v>740</v>
      </c>
      <c r="G20" s="121" t="s">
        <v>206</v>
      </c>
      <c r="H20" s="121"/>
      <c r="I20" s="121" t="s">
        <v>557</v>
      </c>
      <c r="J20" s="121" t="s">
        <v>532</v>
      </c>
      <c r="K20" s="121"/>
      <c r="L20" s="122" t="s">
        <v>694</v>
      </c>
      <c r="M20" s="121"/>
      <c r="N20" s="121" t="s">
        <v>741</v>
      </c>
      <c r="O20" s="122">
        <v>0</v>
      </c>
      <c r="P20" t="s">
        <v>742</v>
      </c>
      <c r="Q20" s="137" t="str">
        <v>catalyst 1000 series</v>
      </c>
      <c r="R20" s="137">
        <f>COUNTIF(Tableau1[Gamme], Q20)</f>
        <v>4</v>
      </c>
    </row>
    <row r="21" spans="2:18" ht="15.75">
      <c r="B21" s="121" t="s">
        <v>366</v>
      </c>
      <c r="C21" s="121" t="s">
        <v>40</v>
      </c>
      <c r="D21" s="121" t="s">
        <v>714</v>
      </c>
      <c r="E21" s="121" t="s">
        <v>554</v>
      </c>
      <c r="F21" s="121" t="s">
        <v>743</v>
      </c>
      <c r="G21" s="121" t="s">
        <v>744</v>
      </c>
      <c r="H21" s="121" t="s">
        <v>717</v>
      </c>
      <c r="I21" s="121" t="s">
        <v>557</v>
      </c>
      <c r="J21" s="121" t="s">
        <v>532</v>
      </c>
      <c r="K21" s="121" t="s">
        <v>718</v>
      </c>
      <c r="L21" s="122" t="s">
        <v>694</v>
      </c>
      <c r="M21" s="121"/>
      <c r="N21" s="121"/>
      <c r="O21" s="122">
        <v>0</v>
      </c>
      <c r="P21" s="140"/>
      <c r="Q21" s="137" t="str">
        <v xml:space="preserve">Catalyst 2960 Plus Series </v>
      </c>
      <c r="R21" s="137">
        <f>COUNTIF(Tableau1[Gamme], Q21)</f>
        <v>4</v>
      </c>
    </row>
    <row r="22" spans="2:18" ht="15.75">
      <c r="B22" s="121" t="s">
        <v>366</v>
      </c>
      <c r="C22" s="121" t="s">
        <v>40</v>
      </c>
      <c r="D22" s="121" t="s">
        <v>714</v>
      </c>
      <c r="E22" s="121" t="s">
        <v>554</v>
      </c>
      <c r="F22" s="121" t="s">
        <v>745</v>
      </c>
      <c r="G22" s="121" t="s">
        <v>746</v>
      </c>
      <c r="H22" s="121" t="s">
        <v>717</v>
      </c>
      <c r="I22" s="121" t="s">
        <v>557</v>
      </c>
      <c r="J22" s="121" t="s">
        <v>532</v>
      </c>
      <c r="K22" s="121" t="s">
        <v>718</v>
      </c>
      <c r="L22" s="122" t="s">
        <v>694</v>
      </c>
      <c r="M22" s="121"/>
      <c r="N22" s="121"/>
      <c r="O22" s="122">
        <v>0</v>
      </c>
      <c r="P22" s="140"/>
      <c r="Q22" s="137" t="str">
        <v xml:space="preserve">Catalyst 2960 Series </v>
      </c>
      <c r="R22" s="137">
        <f>COUNTIF(Tableau1[Gamme], Q22)</f>
        <v>1</v>
      </c>
    </row>
    <row r="23" spans="2:18" ht="15.75">
      <c r="B23" s="121" t="s">
        <v>366</v>
      </c>
      <c r="C23" s="121" t="s">
        <v>40</v>
      </c>
      <c r="D23" s="121" t="s">
        <v>714</v>
      </c>
      <c r="E23" s="121" t="s">
        <v>554</v>
      </c>
      <c r="F23" s="121" t="s">
        <v>555</v>
      </c>
      <c r="G23" s="121" t="s">
        <v>556</v>
      </c>
      <c r="H23" s="121" t="s">
        <v>717</v>
      </c>
      <c r="I23" s="121" t="s">
        <v>557</v>
      </c>
      <c r="J23" s="121" t="s">
        <v>532</v>
      </c>
      <c r="K23" s="121" t="s">
        <v>718</v>
      </c>
      <c r="L23" s="122" t="s">
        <v>694</v>
      </c>
      <c r="M23" s="121"/>
      <c r="N23" s="121"/>
      <c r="O23" s="122">
        <v>0</v>
      </c>
      <c r="P23" s="140"/>
      <c r="Q23" s="137" t="str">
        <v xml:space="preserve">Catalyst 3650 Series </v>
      </c>
      <c r="R23" s="137">
        <f>COUNTIF(Tableau1[Gamme], Q23)</f>
        <v>2</v>
      </c>
    </row>
    <row r="24" spans="2:18" ht="15.75">
      <c r="B24" s="121" t="s">
        <v>366</v>
      </c>
      <c r="C24" s="121" t="s">
        <v>40</v>
      </c>
      <c r="D24" s="121" t="s">
        <v>714</v>
      </c>
      <c r="E24" s="121" t="s">
        <v>554</v>
      </c>
      <c r="F24" s="121" t="s">
        <v>747</v>
      </c>
      <c r="G24" s="121" t="s">
        <v>748</v>
      </c>
      <c r="H24" s="121" t="s">
        <v>717</v>
      </c>
      <c r="I24" s="121"/>
      <c r="J24" s="121"/>
      <c r="K24" s="121" t="s">
        <v>718</v>
      </c>
      <c r="L24" s="122" t="s">
        <v>694</v>
      </c>
      <c r="M24" s="121"/>
      <c r="N24" s="121"/>
      <c r="O24" s="122">
        <v>0</v>
      </c>
      <c r="P24" s="140"/>
      <c r="Q24" s="137" t="str">
        <v>Catalyst 3750 Series P0E-48</v>
      </c>
      <c r="R24" s="137">
        <f>COUNTIF(Tableau1[Gamme], Q24)</f>
        <v>1</v>
      </c>
    </row>
    <row r="25" spans="2:18" ht="15.75">
      <c r="B25" s="121" t="s">
        <v>366</v>
      </c>
      <c r="C25" s="121" t="s">
        <v>482</v>
      </c>
      <c r="D25" s="121" t="s">
        <v>749</v>
      </c>
      <c r="E25" s="121" t="s">
        <v>750</v>
      </c>
      <c r="F25" s="121" t="s">
        <v>352</v>
      </c>
      <c r="G25" s="121" t="s">
        <v>751</v>
      </c>
      <c r="H25" s="121" t="s">
        <v>717</v>
      </c>
      <c r="I25" s="121" t="s">
        <v>752</v>
      </c>
      <c r="J25" s="121" t="s">
        <v>753</v>
      </c>
      <c r="K25" s="121" t="s">
        <v>693</v>
      </c>
      <c r="L25" s="122" t="s">
        <v>694</v>
      </c>
      <c r="M25" s="121"/>
      <c r="N25" s="121"/>
      <c r="O25" s="122">
        <v>1</v>
      </c>
      <c r="P25" s="140"/>
      <c r="Q25" s="137" t="str">
        <v>Catalyst 8200 Edge Series</v>
      </c>
      <c r="R25" s="137">
        <f>COUNTIF(Tableau1[Gamme], Q25)</f>
        <v>2</v>
      </c>
    </row>
    <row r="26" spans="2:18" ht="15.75">
      <c r="B26" s="121" t="s">
        <v>366</v>
      </c>
      <c r="C26" s="121" t="s">
        <v>482</v>
      </c>
      <c r="D26" s="121" t="s">
        <v>749</v>
      </c>
      <c r="E26" s="121" t="s">
        <v>750</v>
      </c>
      <c r="F26" s="121" t="s">
        <v>754</v>
      </c>
      <c r="G26" s="121" t="s">
        <v>755</v>
      </c>
      <c r="H26" s="121" t="s">
        <v>756</v>
      </c>
      <c r="I26" s="121" t="s">
        <v>752</v>
      </c>
      <c r="J26" s="121" t="s">
        <v>753</v>
      </c>
      <c r="K26" s="121" t="s">
        <v>693</v>
      </c>
      <c r="L26" s="122" t="s">
        <v>694</v>
      </c>
      <c r="M26" s="121"/>
      <c r="N26" s="121"/>
      <c r="O26" s="122">
        <v>1</v>
      </c>
      <c r="P26" s="140"/>
      <c r="Q26" s="137" t="str">
        <v>Cisco 1800 Series</v>
      </c>
      <c r="R26" s="137">
        <f>COUNTIF(Tableau1[Gamme], Q26)</f>
        <v>2</v>
      </c>
    </row>
    <row r="27" spans="2:18" ht="15.75">
      <c r="B27" s="121" t="s">
        <v>366</v>
      </c>
      <c r="C27" s="121" t="s">
        <v>482</v>
      </c>
      <c r="D27" s="121" t="s">
        <v>749</v>
      </c>
      <c r="E27" s="121" t="s">
        <v>750</v>
      </c>
      <c r="F27" s="121" t="s">
        <v>335</v>
      </c>
      <c r="G27" s="121" t="s">
        <v>757</v>
      </c>
      <c r="H27" s="121" t="s">
        <v>717</v>
      </c>
      <c r="I27" s="121" t="s">
        <v>752</v>
      </c>
      <c r="J27" s="121" t="s">
        <v>753</v>
      </c>
      <c r="K27" s="121" t="s">
        <v>693</v>
      </c>
      <c r="L27" s="122" t="s">
        <v>694</v>
      </c>
      <c r="M27" s="121"/>
      <c r="N27" s="121"/>
      <c r="O27" s="122">
        <v>1</v>
      </c>
      <c r="P27" s="140"/>
      <c r="Q27" s="137" t="str">
        <v xml:space="preserve">Cisco 1800 Series </v>
      </c>
      <c r="R27" s="137">
        <f>COUNTIF(Tableau1[Gamme], Q27)</f>
        <v>1</v>
      </c>
    </row>
    <row r="28" spans="2:18" ht="15.75">
      <c r="B28" s="121" t="s">
        <v>690</v>
      </c>
      <c r="C28" s="121" t="s">
        <v>482</v>
      </c>
      <c r="D28" s="121" t="s">
        <v>758</v>
      </c>
      <c r="E28" s="121" t="s">
        <v>759</v>
      </c>
      <c r="F28" s="121" t="s">
        <v>350</v>
      </c>
      <c r="G28" s="121" t="s">
        <v>649</v>
      </c>
      <c r="H28" s="121" t="s">
        <v>760</v>
      </c>
      <c r="I28" s="121" t="s">
        <v>761</v>
      </c>
      <c r="J28" s="121" t="s">
        <v>762</v>
      </c>
      <c r="K28" s="121" t="s">
        <v>693</v>
      </c>
      <c r="L28" s="122" t="s">
        <v>694</v>
      </c>
      <c r="M28" s="121"/>
      <c r="N28" s="121"/>
      <c r="O28" s="122">
        <v>0</v>
      </c>
      <c r="P28" s="140"/>
      <c r="Q28" s="137" t="str">
        <v xml:space="preserve">Cisco 1900 Series </v>
      </c>
      <c r="R28" s="137">
        <f>COUNTIF(Tableau1[Gamme], Q28)</f>
        <v>1</v>
      </c>
    </row>
    <row r="29" spans="2:18" ht="36">
      <c r="B29" s="121" t="s">
        <v>690</v>
      </c>
      <c r="C29" s="121" t="s">
        <v>482</v>
      </c>
      <c r="D29" s="121" t="s">
        <v>758</v>
      </c>
      <c r="E29" s="121" t="s">
        <v>675</v>
      </c>
      <c r="F29" s="121" t="s">
        <v>763</v>
      </c>
      <c r="G29" s="121" t="s">
        <v>764</v>
      </c>
      <c r="H29" s="121" t="s">
        <v>765</v>
      </c>
      <c r="I29" s="123" t="s">
        <v>766</v>
      </c>
      <c r="J29" s="121" t="s">
        <v>767</v>
      </c>
      <c r="K29" s="121" t="s">
        <v>693</v>
      </c>
      <c r="L29" s="122" t="s">
        <v>696</v>
      </c>
      <c r="M29" s="121"/>
      <c r="N29" s="121"/>
      <c r="O29" s="122">
        <v>1</v>
      </c>
      <c r="P29" s="140"/>
      <c r="Q29" s="137" t="str">
        <v xml:space="preserve">Cisco 2600 Series </v>
      </c>
      <c r="R29" s="137">
        <f>COUNTIF(Tableau1[Gamme], Q29)</f>
        <v>1</v>
      </c>
    </row>
    <row r="30" spans="2:18" ht="15.75">
      <c r="B30" s="121" t="s">
        <v>690</v>
      </c>
      <c r="C30" s="121" t="s">
        <v>482</v>
      </c>
      <c r="D30" s="121" t="s">
        <v>758</v>
      </c>
      <c r="E30" s="121" t="s">
        <v>768</v>
      </c>
      <c r="F30" s="121" t="s">
        <v>670</v>
      </c>
      <c r="G30" s="121" t="s">
        <v>671</v>
      </c>
      <c r="H30" s="121" t="s">
        <v>769</v>
      </c>
      <c r="I30" s="121" t="s">
        <v>761</v>
      </c>
      <c r="J30" s="121" t="s">
        <v>762</v>
      </c>
      <c r="K30" s="121" t="s">
        <v>693</v>
      </c>
      <c r="L30" s="122" t="s">
        <v>696</v>
      </c>
      <c r="M30" s="121"/>
      <c r="N30" s="121" t="s">
        <v>770</v>
      </c>
      <c r="O30" s="122">
        <v>1</v>
      </c>
      <c r="P30" s="140"/>
      <c r="Q30" s="137" t="str">
        <v>ISR 4000</v>
      </c>
      <c r="R30" s="137">
        <f>COUNTIF(Tableau1[Gamme], Q30)</f>
        <v>5</v>
      </c>
    </row>
    <row r="31" spans="2:18" ht="36">
      <c r="B31" s="121" t="s">
        <v>690</v>
      </c>
      <c r="C31" s="121" t="s">
        <v>482</v>
      </c>
      <c r="D31" s="121" t="s">
        <v>758</v>
      </c>
      <c r="E31" s="121" t="s">
        <v>768</v>
      </c>
      <c r="F31" s="121" t="s">
        <v>676</v>
      </c>
      <c r="G31" s="121" t="s">
        <v>677</v>
      </c>
      <c r="H31" s="121" t="s">
        <v>771</v>
      </c>
      <c r="I31" s="123" t="s">
        <v>761</v>
      </c>
      <c r="J31" s="121" t="s">
        <v>762</v>
      </c>
      <c r="K31" s="121" t="s">
        <v>693</v>
      </c>
      <c r="L31" s="122" t="s">
        <v>696</v>
      </c>
      <c r="M31" s="121"/>
      <c r="N31" s="121" t="s">
        <v>772</v>
      </c>
      <c r="O31" s="122">
        <v>1</v>
      </c>
      <c r="P31" s="140" t="s">
        <v>773</v>
      </c>
      <c r="Q31" s="137" t="str">
        <v>ISR 1100X</v>
      </c>
      <c r="R31" s="137">
        <f>COUNTIF(Tableau1[Gamme], Q31)</f>
        <v>1</v>
      </c>
    </row>
    <row r="32" spans="2:18" ht="36">
      <c r="B32" s="121" t="s">
        <v>690</v>
      </c>
      <c r="C32" s="121" t="s">
        <v>482</v>
      </c>
      <c r="D32" s="123" t="s">
        <v>691</v>
      </c>
      <c r="E32" s="121" t="s">
        <v>314</v>
      </c>
      <c r="F32" s="121" t="s">
        <v>774</v>
      </c>
      <c r="G32" s="123" t="s">
        <v>775</v>
      </c>
      <c r="H32" s="121" t="s">
        <v>698</v>
      </c>
      <c r="I32" s="121" t="s">
        <v>692</v>
      </c>
      <c r="J32" s="121" t="s">
        <v>488</v>
      </c>
      <c r="K32" s="121" t="s">
        <v>693</v>
      </c>
      <c r="L32" s="122" t="s">
        <v>694</v>
      </c>
      <c r="M32" s="121"/>
      <c r="N32" s="121" t="s">
        <v>741</v>
      </c>
      <c r="O32" s="122">
        <v>0</v>
      </c>
      <c r="P32" t="s">
        <v>776</v>
      </c>
      <c r="Q32" s="137" t="str">
        <v>Fortigate 60E</v>
      </c>
      <c r="R32" s="137">
        <f>COUNTIF(Tableau1[Gamme], Q32)</f>
        <v>3</v>
      </c>
    </row>
    <row r="33" spans="2:18" ht="36">
      <c r="B33" s="121" t="s">
        <v>690</v>
      </c>
      <c r="C33" s="121" t="s">
        <v>482</v>
      </c>
      <c r="D33" s="123" t="s">
        <v>691</v>
      </c>
      <c r="E33" s="121" t="s">
        <v>777</v>
      </c>
      <c r="F33" s="121" t="s">
        <v>384</v>
      </c>
      <c r="G33" s="123" t="s">
        <v>778</v>
      </c>
      <c r="H33" s="121" t="s">
        <v>779</v>
      </c>
      <c r="I33" s="121" t="s">
        <v>692</v>
      </c>
      <c r="J33" s="124" t="s">
        <v>488</v>
      </c>
      <c r="K33" s="121" t="s">
        <v>693</v>
      </c>
      <c r="L33" s="122" t="s">
        <v>694</v>
      </c>
      <c r="M33" s="121"/>
      <c r="N33" s="121"/>
      <c r="O33" s="122">
        <v>0</v>
      </c>
      <c r="P33" s="141" t="s">
        <v>780</v>
      </c>
      <c r="Q33" s="137" t="str">
        <v>Fortigate 60F</v>
      </c>
      <c r="R33" s="137">
        <f>COUNTIF(Tableau1[Gamme], Q33)</f>
        <v>6</v>
      </c>
    </row>
    <row r="34" spans="2:18" ht="17.25">
      <c r="B34" s="121" t="s">
        <v>690</v>
      </c>
      <c r="C34" s="121" t="s">
        <v>482</v>
      </c>
      <c r="D34" s="123" t="s">
        <v>691</v>
      </c>
      <c r="E34" s="121" t="s">
        <v>777</v>
      </c>
      <c r="F34" s="121" t="s">
        <v>112</v>
      </c>
      <c r="G34" s="121" t="s">
        <v>113</v>
      </c>
      <c r="H34" s="121" t="s">
        <v>781</v>
      </c>
      <c r="I34" s="121" t="s">
        <v>692</v>
      </c>
      <c r="J34" s="121" t="s">
        <v>488</v>
      </c>
      <c r="K34" s="121" t="s">
        <v>693</v>
      </c>
      <c r="L34" s="122" t="s">
        <v>694</v>
      </c>
      <c r="M34" s="121"/>
      <c r="N34" s="121" t="s">
        <v>525</v>
      </c>
      <c r="O34" s="122">
        <v>0</v>
      </c>
      <c r="P34" s="140"/>
      <c r="Q34" s="137" t="str">
        <v xml:space="preserve">UTM220 </v>
      </c>
      <c r="R34" s="137">
        <f>COUNTIF(Tableau1[Gamme], Q34)</f>
        <v>1</v>
      </c>
    </row>
    <row r="35" spans="2:18" ht="53.25">
      <c r="B35" s="121" t="s">
        <v>690</v>
      </c>
      <c r="C35" s="121" t="s">
        <v>482</v>
      </c>
      <c r="D35" s="123" t="s">
        <v>782</v>
      </c>
      <c r="E35" s="121" t="s">
        <v>783</v>
      </c>
      <c r="F35" s="121" t="s">
        <v>343</v>
      </c>
      <c r="G35" s="121" t="s">
        <v>574</v>
      </c>
      <c r="H35" s="121" t="s">
        <v>784</v>
      </c>
      <c r="I35" s="123" t="s">
        <v>785</v>
      </c>
      <c r="J35" s="121" t="s">
        <v>786</v>
      </c>
      <c r="K35" s="121" t="s">
        <v>693</v>
      </c>
      <c r="L35" s="122" t="s">
        <v>696</v>
      </c>
      <c r="M35" s="121"/>
      <c r="N35" s="121"/>
      <c r="O35" s="122">
        <v>1</v>
      </c>
      <c r="P35" s="140"/>
      <c r="Q35" t="str">
        <v>Series 2960</v>
      </c>
    </row>
    <row r="36" spans="2:18" ht="53.25">
      <c r="B36" s="121" t="s">
        <v>690</v>
      </c>
      <c r="C36" s="121" t="s">
        <v>482</v>
      </c>
      <c r="D36" s="123" t="s">
        <v>782</v>
      </c>
      <c r="E36" s="121" t="s">
        <v>314</v>
      </c>
      <c r="F36" s="121" t="s">
        <v>324</v>
      </c>
      <c r="G36" s="121" t="s">
        <v>577</v>
      </c>
      <c r="H36" s="121" t="s">
        <v>784</v>
      </c>
      <c r="I36" s="123" t="s">
        <v>787</v>
      </c>
      <c r="J36" s="121" t="s">
        <v>788</v>
      </c>
      <c r="K36" s="121" t="s">
        <v>693</v>
      </c>
      <c r="L36" s="122" t="s">
        <v>696</v>
      </c>
      <c r="M36" s="121"/>
      <c r="N36" s="121"/>
      <c r="O36" s="122">
        <v>1</v>
      </c>
      <c r="P36" s="140"/>
      <c r="Q36" t="str">
        <v>Catalyst 9200L</v>
      </c>
    </row>
    <row r="37" spans="2:18" ht="53.25">
      <c r="B37" s="121" t="s">
        <v>690</v>
      </c>
      <c r="C37" s="121" t="s">
        <v>482</v>
      </c>
      <c r="D37" s="123" t="s">
        <v>782</v>
      </c>
      <c r="E37" s="121" t="s">
        <v>789</v>
      </c>
      <c r="F37" s="123" t="s">
        <v>790</v>
      </c>
      <c r="G37" s="123" t="s">
        <v>791</v>
      </c>
      <c r="H37" s="121" t="s">
        <v>792</v>
      </c>
      <c r="I37" s="123" t="s">
        <v>793</v>
      </c>
      <c r="J37" s="121" t="s">
        <v>788</v>
      </c>
      <c r="K37" s="121" t="s">
        <v>693</v>
      </c>
      <c r="L37" s="122" t="s">
        <v>696</v>
      </c>
      <c r="M37" s="121"/>
      <c r="N37" s="121"/>
      <c r="O37" s="122">
        <v>1</v>
      </c>
      <c r="P37" s="140"/>
    </row>
    <row r="38" spans="2:18" ht="53.25">
      <c r="B38" s="121" t="s">
        <v>690</v>
      </c>
      <c r="C38" s="121" t="s">
        <v>482</v>
      </c>
      <c r="D38" s="123" t="s">
        <v>782</v>
      </c>
      <c r="E38" s="121" t="s">
        <v>789</v>
      </c>
      <c r="F38" s="121" t="s">
        <v>794</v>
      </c>
      <c r="G38" s="121" t="s">
        <v>316</v>
      </c>
      <c r="H38" s="121" t="s">
        <v>795</v>
      </c>
      <c r="I38" s="123" t="s">
        <v>793</v>
      </c>
      <c r="J38" s="121" t="s">
        <v>788</v>
      </c>
      <c r="K38" s="121" t="s">
        <v>693</v>
      </c>
      <c r="L38" s="122" t="s">
        <v>696</v>
      </c>
      <c r="M38" s="121" t="s">
        <v>796</v>
      </c>
      <c r="N38" s="121" t="s">
        <v>351</v>
      </c>
      <c r="O38" s="122">
        <v>1</v>
      </c>
      <c r="P38" s="140"/>
    </row>
    <row r="39" spans="2:18" ht="53.25">
      <c r="B39" s="121" t="s">
        <v>690</v>
      </c>
      <c r="C39" s="121" t="s">
        <v>482</v>
      </c>
      <c r="D39" s="123" t="s">
        <v>797</v>
      </c>
      <c r="E39" s="121" t="s">
        <v>798</v>
      </c>
      <c r="F39" s="121" t="s">
        <v>799</v>
      </c>
      <c r="G39" s="121" t="s">
        <v>800</v>
      </c>
      <c r="H39" s="123" t="s">
        <v>801</v>
      </c>
      <c r="I39" s="121" t="s">
        <v>802</v>
      </c>
      <c r="J39" s="121" t="s">
        <v>803</v>
      </c>
      <c r="K39" s="121" t="s">
        <v>693</v>
      </c>
      <c r="L39" s="122" t="s">
        <v>696</v>
      </c>
      <c r="M39" s="121"/>
      <c r="N39" s="121" t="s">
        <v>628</v>
      </c>
      <c r="O39" s="122">
        <v>0</v>
      </c>
      <c r="P39" s="140"/>
    </row>
    <row r="40" spans="2:18" ht="36">
      <c r="B40" s="121" t="s">
        <v>705</v>
      </c>
      <c r="C40" s="121" t="s">
        <v>482</v>
      </c>
      <c r="D40" s="121" t="s">
        <v>804</v>
      </c>
      <c r="E40" s="121" t="s">
        <v>580</v>
      </c>
      <c r="F40" s="121" t="s">
        <v>585</v>
      </c>
      <c r="G40" s="121" t="s">
        <v>586</v>
      </c>
      <c r="H40" s="123" t="s">
        <v>805</v>
      </c>
      <c r="I40" s="123" t="s">
        <v>806</v>
      </c>
      <c r="J40" s="121" t="s">
        <v>807</v>
      </c>
      <c r="K40" s="121" t="s">
        <v>693</v>
      </c>
      <c r="L40" s="122" t="s">
        <v>696</v>
      </c>
      <c r="M40" s="121"/>
      <c r="N40" s="121"/>
      <c r="O40" s="122">
        <v>1</v>
      </c>
      <c r="P40" s="140"/>
    </row>
    <row r="41" spans="2:18" ht="53.25">
      <c r="B41" s="121" t="s">
        <v>705</v>
      </c>
      <c r="C41" s="121" t="s">
        <v>482</v>
      </c>
      <c r="D41" s="121" t="s">
        <v>804</v>
      </c>
      <c r="E41" s="121" t="s">
        <v>580</v>
      </c>
      <c r="F41" s="121" t="s">
        <v>581</v>
      </c>
      <c r="G41" s="121" t="s">
        <v>582</v>
      </c>
      <c r="H41" s="121" t="s">
        <v>808</v>
      </c>
      <c r="I41" s="123" t="s">
        <v>809</v>
      </c>
      <c r="J41" s="121" t="s">
        <v>810</v>
      </c>
      <c r="K41" s="121" t="s">
        <v>693</v>
      </c>
      <c r="L41" s="122" t="s">
        <v>696</v>
      </c>
      <c r="M41" s="121"/>
      <c r="N41" s="121"/>
      <c r="O41" s="122">
        <v>1</v>
      </c>
      <c r="P41" s="140"/>
    </row>
    <row r="42" spans="2:18" ht="17.25">
      <c r="B42" s="121" t="s">
        <v>705</v>
      </c>
      <c r="C42" s="121" t="s">
        <v>482</v>
      </c>
      <c r="D42" s="123" t="s">
        <v>811</v>
      </c>
      <c r="E42" s="121" t="s">
        <v>812</v>
      </c>
      <c r="F42" s="121" t="s">
        <v>813</v>
      </c>
      <c r="G42" s="121" t="s">
        <v>814</v>
      </c>
      <c r="H42" s="121" t="s">
        <v>815</v>
      </c>
      <c r="I42" s="121" t="s">
        <v>816</v>
      </c>
      <c r="J42" s="121" t="s">
        <v>817</v>
      </c>
      <c r="K42" s="121" t="s">
        <v>693</v>
      </c>
      <c r="L42" s="122" t="s">
        <v>696</v>
      </c>
      <c r="M42" s="121"/>
      <c r="N42" s="121"/>
      <c r="O42" s="122" t="s">
        <v>818</v>
      </c>
    </row>
    <row r="43" spans="2:18" ht="17.25">
      <c r="B43" s="121" t="s">
        <v>366</v>
      </c>
      <c r="C43" s="121" t="s">
        <v>482</v>
      </c>
      <c r="D43" s="123" t="s">
        <v>819</v>
      </c>
      <c r="E43" s="121" t="s">
        <v>820</v>
      </c>
      <c r="F43" s="121" t="s">
        <v>666</v>
      </c>
      <c r="G43" s="121" t="s">
        <v>821</v>
      </c>
      <c r="H43" s="121" t="s">
        <v>822</v>
      </c>
      <c r="I43" s="123" t="s">
        <v>823</v>
      </c>
      <c r="J43" s="121" t="s">
        <v>824</v>
      </c>
      <c r="K43" s="121" t="s">
        <v>693</v>
      </c>
      <c r="L43" s="122" t="s">
        <v>696</v>
      </c>
      <c r="M43" s="121"/>
      <c r="N43" s="121" t="s">
        <v>825</v>
      </c>
      <c r="O43" s="122">
        <v>1</v>
      </c>
      <c r="P43" s="140"/>
    </row>
    <row r="44" spans="2:18" ht="36">
      <c r="B44" s="121" t="s">
        <v>366</v>
      </c>
      <c r="C44" s="121" t="s">
        <v>482</v>
      </c>
      <c r="D44" s="123" t="s">
        <v>819</v>
      </c>
      <c r="E44" s="121" t="s">
        <v>820</v>
      </c>
      <c r="F44" s="123" t="s">
        <v>826</v>
      </c>
      <c r="G44" s="121" t="s">
        <v>827</v>
      </c>
      <c r="H44" s="121" t="s">
        <v>828</v>
      </c>
      <c r="I44" s="121" t="s">
        <v>823</v>
      </c>
      <c r="J44" s="121" t="s">
        <v>829</v>
      </c>
      <c r="K44" s="124" t="s">
        <v>693</v>
      </c>
      <c r="L44" s="122" t="s">
        <v>696</v>
      </c>
      <c r="M44" s="121"/>
      <c r="N44" s="121" t="s">
        <v>825</v>
      </c>
      <c r="O44" s="122">
        <v>1</v>
      </c>
      <c r="P44" s="140"/>
    </row>
    <row r="45" spans="2:18" ht="53.25">
      <c r="B45" s="121" t="s">
        <v>366</v>
      </c>
      <c r="C45" s="121" t="s">
        <v>482</v>
      </c>
      <c r="D45" s="121" t="s">
        <v>830</v>
      </c>
      <c r="E45" s="121" t="s">
        <v>831</v>
      </c>
      <c r="F45" s="121" t="s">
        <v>53</v>
      </c>
      <c r="G45" s="121" t="s">
        <v>832</v>
      </c>
      <c r="H45" s="121" t="s">
        <v>833</v>
      </c>
      <c r="I45" s="123" t="s">
        <v>834</v>
      </c>
      <c r="J45" s="127" t="s">
        <v>788</v>
      </c>
      <c r="K45" s="121" t="s">
        <v>693</v>
      </c>
      <c r="L45" s="122" t="s">
        <v>696</v>
      </c>
      <c r="M45" s="121"/>
      <c r="N45" s="121" t="s">
        <v>835</v>
      </c>
      <c r="O45" s="122">
        <v>1</v>
      </c>
      <c r="P45" s="140"/>
    </row>
    <row r="46" spans="2:18" ht="53.25">
      <c r="B46" s="121" t="s">
        <v>366</v>
      </c>
      <c r="C46" s="121" t="s">
        <v>482</v>
      </c>
      <c r="D46" s="121" t="s">
        <v>830</v>
      </c>
      <c r="E46" s="121" t="s">
        <v>831</v>
      </c>
      <c r="F46" s="121" t="s">
        <v>65</v>
      </c>
      <c r="G46" s="121" t="s">
        <v>836</v>
      </c>
      <c r="H46" s="121" t="s">
        <v>833</v>
      </c>
      <c r="I46" s="128" t="s">
        <v>837</v>
      </c>
      <c r="J46" s="127" t="s">
        <v>788</v>
      </c>
      <c r="K46" s="121" t="s">
        <v>693</v>
      </c>
      <c r="L46" s="122" t="s">
        <v>696</v>
      </c>
      <c r="M46" s="121"/>
      <c r="N46" s="121"/>
      <c r="O46" s="122">
        <v>1</v>
      </c>
      <c r="P46" s="140"/>
    </row>
    <row r="47" spans="2:18" ht="53.25">
      <c r="B47" s="121" t="s">
        <v>366</v>
      </c>
      <c r="C47" s="121" t="s">
        <v>482</v>
      </c>
      <c r="D47" s="121" t="s">
        <v>838</v>
      </c>
      <c r="E47" s="123" t="s">
        <v>831</v>
      </c>
      <c r="F47" s="121" t="s">
        <v>69</v>
      </c>
      <c r="G47" s="121" t="s">
        <v>839</v>
      </c>
      <c r="H47" s="121" t="s">
        <v>833</v>
      </c>
      <c r="I47" s="123" t="s">
        <v>840</v>
      </c>
      <c r="J47" s="121" t="s">
        <v>788</v>
      </c>
      <c r="K47" s="121" t="s">
        <v>693</v>
      </c>
      <c r="L47" s="122" t="s">
        <v>696</v>
      </c>
      <c r="M47" s="121"/>
      <c r="N47" s="121"/>
      <c r="O47" s="122">
        <v>1</v>
      </c>
      <c r="P47" s="140"/>
    </row>
    <row r="48" spans="2:18" ht="70.5">
      <c r="B48" s="121" t="s">
        <v>366</v>
      </c>
      <c r="C48" s="121" t="s">
        <v>482</v>
      </c>
      <c r="D48" s="121" t="s">
        <v>841</v>
      </c>
      <c r="E48" s="121" t="s">
        <v>41</v>
      </c>
      <c r="F48" s="121" t="s">
        <v>842</v>
      </c>
      <c r="G48" s="121" t="s">
        <v>843</v>
      </c>
      <c r="H48" s="121" t="s">
        <v>844</v>
      </c>
      <c r="I48" s="123" t="s">
        <v>845</v>
      </c>
      <c r="J48" s="121" t="s">
        <v>846</v>
      </c>
      <c r="K48" s="121" t="s">
        <v>693</v>
      </c>
      <c r="L48" s="122" t="s">
        <v>696</v>
      </c>
      <c r="M48" s="121"/>
      <c r="N48" s="121"/>
      <c r="O48" s="122">
        <v>1</v>
      </c>
      <c r="P48" s="140"/>
    </row>
    <row r="49" spans="2:16" ht="36">
      <c r="B49" s="121" t="s">
        <v>366</v>
      </c>
      <c r="C49" s="121" t="s">
        <v>482</v>
      </c>
      <c r="D49" s="121" t="s">
        <v>847</v>
      </c>
      <c r="E49" s="121" t="s">
        <v>848</v>
      </c>
      <c r="F49" s="121" t="s">
        <v>431</v>
      </c>
      <c r="G49" s="121" t="s">
        <v>316</v>
      </c>
      <c r="H49" s="123" t="s">
        <v>849</v>
      </c>
      <c r="I49" s="121" t="s">
        <v>850</v>
      </c>
      <c r="J49" s="121" t="s">
        <v>851</v>
      </c>
      <c r="K49" s="121" t="s">
        <v>693</v>
      </c>
      <c r="L49" s="122" t="s">
        <v>696</v>
      </c>
      <c r="M49" s="121"/>
      <c r="N49" s="121" t="s">
        <v>852</v>
      </c>
      <c r="O49" s="122">
        <v>1</v>
      </c>
      <c r="P49" s="140"/>
    </row>
    <row r="50" spans="2:16" ht="15.75">
      <c r="B50" s="121" t="s">
        <v>366</v>
      </c>
      <c r="C50" s="121" t="s">
        <v>482</v>
      </c>
      <c r="D50" s="121" t="s">
        <v>853</v>
      </c>
      <c r="E50" s="121" t="s">
        <v>750</v>
      </c>
      <c r="F50" s="121" t="s">
        <v>545</v>
      </c>
      <c r="G50" s="121"/>
      <c r="H50" s="121" t="s">
        <v>854</v>
      </c>
      <c r="I50" s="124" t="s">
        <v>855</v>
      </c>
      <c r="J50" s="121" t="s">
        <v>856</v>
      </c>
      <c r="K50" s="121" t="s">
        <v>693</v>
      </c>
      <c r="L50" s="122" t="s">
        <v>694</v>
      </c>
      <c r="M50" s="121"/>
      <c r="N50" s="121"/>
      <c r="O50" s="122">
        <v>1</v>
      </c>
      <c r="P50" s="140"/>
    </row>
    <row r="51" spans="2:16" ht="53.25">
      <c r="B51" s="121" t="s">
        <v>366</v>
      </c>
      <c r="C51" s="121" t="s">
        <v>482</v>
      </c>
      <c r="D51" s="121" t="s">
        <v>853</v>
      </c>
      <c r="E51" s="121" t="s">
        <v>501</v>
      </c>
      <c r="F51" s="121" t="s">
        <v>857</v>
      </c>
      <c r="G51" s="121"/>
      <c r="H51" s="121" t="s">
        <v>717</v>
      </c>
      <c r="I51" s="123" t="s">
        <v>502</v>
      </c>
      <c r="J51" s="121" t="s">
        <v>532</v>
      </c>
      <c r="K51" s="121" t="s">
        <v>693</v>
      </c>
      <c r="L51" s="122" t="s">
        <v>694</v>
      </c>
      <c r="M51" s="121"/>
      <c r="N51" s="121"/>
      <c r="O51" s="122">
        <v>1</v>
      </c>
      <c r="P51" s="140"/>
    </row>
    <row r="52" spans="2:16" ht="17.25">
      <c r="B52" s="121" t="s">
        <v>366</v>
      </c>
      <c r="C52" s="121" t="s">
        <v>482</v>
      </c>
      <c r="D52" s="121" t="s">
        <v>853</v>
      </c>
      <c r="E52" s="121" t="s">
        <v>501</v>
      </c>
      <c r="F52" s="121" t="s">
        <v>858</v>
      </c>
      <c r="G52" s="121" t="s">
        <v>859</v>
      </c>
      <c r="H52" s="121" t="s">
        <v>860</v>
      </c>
      <c r="I52" s="123" t="s">
        <v>861</v>
      </c>
      <c r="J52" s="121" t="s">
        <v>532</v>
      </c>
      <c r="K52" s="121" t="s">
        <v>693</v>
      </c>
      <c r="L52" s="122" t="s">
        <v>696</v>
      </c>
      <c r="M52" s="121"/>
      <c r="N52" s="121"/>
      <c r="O52" s="122">
        <v>1</v>
      </c>
      <c r="P52" s="140"/>
    </row>
    <row r="53" spans="2:16" ht="36">
      <c r="B53" s="121" t="s">
        <v>366</v>
      </c>
      <c r="C53" s="121" t="s">
        <v>482</v>
      </c>
      <c r="D53" s="121" t="s">
        <v>853</v>
      </c>
      <c r="E53" s="121" t="s">
        <v>501</v>
      </c>
      <c r="F53" s="121" t="s">
        <v>304</v>
      </c>
      <c r="G53" s="121" t="s">
        <v>862</v>
      </c>
      <c r="H53" s="121" t="s">
        <v>863</v>
      </c>
      <c r="I53" s="123" t="s">
        <v>864</v>
      </c>
      <c r="J53" s="121" t="s">
        <v>532</v>
      </c>
      <c r="K53" s="121" t="s">
        <v>693</v>
      </c>
      <c r="L53" s="122" t="s">
        <v>696</v>
      </c>
      <c r="M53" s="121"/>
      <c r="N53" s="121"/>
      <c r="O53" s="122">
        <v>1</v>
      </c>
      <c r="P53" s="140"/>
    </row>
    <row r="54" spans="2:16" ht="15.75">
      <c r="B54" s="121" t="s">
        <v>366</v>
      </c>
      <c r="C54" s="121" t="s">
        <v>482</v>
      </c>
      <c r="D54" s="121" t="s">
        <v>714</v>
      </c>
      <c r="E54" s="121" t="s">
        <v>554</v>
      </c>
      <c r="F54" s="124" t="s">
        <v>740</v>
      </c>
      <c r="G54" s="121" t="s">
        <v>865</v>
      </c>
      <c r="H54" s="124" t="s">
        <v>717</v>
      </c>
      <c r="I54" s="124" t="s">
        <v>557</v>
      </c>
      <c r="J54" s="124" t="s">
        <v>532</v>
      </c>
      <c r="K54" s="124" t="s">
        <v>718</v>
      </c>
      <c r="L54" s="129" t="s">
        <v>694</v>
      </c>
      <c r="M54" s="121"/>
      <c r="N54" s="121"/>
      <c r="O54" s="122">
        <v>0</v>
      </c>
      <c r="P54" s="140"/>
    </row>
    <row r="55" spans="2:16" ht="53.25">
      <c r="B55" s="121" t="s">
        <v>366</v>
      </c>
      <c r="C55" s="121" t="s">
        <v>40</v>
      </c>
      <c r="D55" s="121" t="s">
        <v>866</v>
      </c>
      <c r="E55" s="121" t="s">
        <v>867</v>
      </c>
      <c r="F55" s="121" t="s">
        <v>868</v>
      </c>
      <c r="G55" s="121" t="s">
        <v>869</v>
      </c>
      <c r="H55" s="123" t="s">
        <v>870</v>
      </c>
      <c r="I55" s="123" t="s">
        <v>871</v>
      </c>
      <c r="J55" s="121" t="s">
        <v>753</v>
      </c>
      <c r="K55" s="121" t="s">
        <v>693</v>
      </c>
      <c r="L55" s="122" t="s">
        <v>694</v>
      </c>
      <c r="M55" s="121" t="s">
        <v>872</v>
      </c>
      <c r="N55" s="121" t="s">
        <v>873</v>
      </c>
      <c r="O55" s="122">
        <v>1</v>
      </c>
      <c r="P55" s="140"/>
    </row>
    <row r="56" spans="2:16" ht="36">
      <c r="B56" s="121" t="s">
        <v>699</v>
      </c>
      <c r="C56" s="121" t="s">
        <v>522</v>
      </c>
      <c r="D56" s="121" t="s">
        <v>874</v>
      </c>
      <c r="E56" s="121" t="s">
        <v>614</v>
      </c>
      <c r="F56" s="121" t="s">
        <v>635</v>
      </c>
      <c r="G56" s="121" t="s">
        <v>875</v>
      </c>
      <c r="H56" s="123" t="s">
        <v>876</v>
      </c>
      <c r="I56" s="121"/>
      <c r="J56" s="121"/>
      <c r="K56" s="121" t="s">
        <v>693</v>
      </c>
      <c r="L56" s="122" t="s">
        <v>696</v>
      </c>
      <c r="M56" s="121" t="s">
        <v>877</v>
      </c>
      <c r="N56" s="121" t="s">
        <v>852</v>
      </c>
      <c r="O56" s="122">
        <v>1</v>
      </c>
      <c r="P56" s="140"/>
    </row>
    <row r="57" spans="2:16" ht="15.75">
      <c r="B57" s="121" t="s">
        <v>699</v>
      </c>
      <c r="C57" s="121" t="s">
        <v>522</v>
      </c>
      <c r="D57" s="121" t="s">
        <v>874</v>
      </c>
      <c r="E57" s="121" t="s">
        <v>614</v>
      </c>
      <c r="F57" s="121" t="s">
        <v>878</v>
      </c>
      <c r="G57" s="121" t="s">
        <v>879</v>
      </c>
      <c r="H57" s="121" t="s">
        <v>876</v>
      </c>
      <c r="I57" s="121"/>
      <c r="J57" s="121" t="s">
        <v>767</v>
      </c>
      <c r="K57" s="121" t="s">
        <v>693</v>
      </c>
      <c r="L57" s="122" t="s">
        <v>696</v>
      </c>
      <c r="M57" s="121" t="s">
        <v>877</v>
      </c>
      <c r="N57" s="121"/>
      <c r="O57" s="122">
        <v>1</v>
      </c>
      <c r="P57" s="140"/>
    </row>
    <row r="58" spans="2:16" ht="15.75">
      <c r="B58" s="121" t="s">
        <v>699</v>
      </c>
      <c r="C58" s="121" t="s">
        <v>522</v>
      </c>
      <c r="D58" s="121" t="s">
        <v>874</v>
      </c>
      <c r="E58" s="121" t="s">
        <v>614</v>
      </c>
      <c r="F58" s="121" t="s">
        <v>615</v>
      </c>
      <c r="G58" s="121" t="s">
        <v>880</v>
      </c>
      <c r="H58" s="121" t="s">
        <v>881</v>
      </c>
      <c r="I58" s="121"/>
      <c r="J58" s="121" t="s">
        <v>767</v>
      </c>
      <c r="K58" s="121" t="s">
        <v>693</v>
      </c>
      <c r="L58" s="122" t="s">
        <v>696</v>
      </c>
      <c r="M58" s="121" t="s">
        <v>877</v>
      </c>
      <c r="N58" s="121" t="s">
        <v>825</v>
      </c>
      <c r="O58" s="122">
        <v>1</v>
      </c>
      <c r="P58" s="140"/>
    </row>
    <row r="59" spans="2:16" ht="15.75">
      <c r="B59" s="121" t="s">
        <v>699</v>
      </c>
      <c r="C59" s="121" t="s">
        <v>522</v>
      </c>
      <c r="D59" s="121" t="s">
        <v>882</v>
      </c>
      <c r="E59" s="121" t="s">
        <v>506</v>
      </c>
      <c r="F59" s="121" t="s">
        <v>507</v>
      </c>
      <c r="G59" s="121" t="s">
        <v>883</v>
      </c>
      <c r="H59" s="121" t="s">
        <v>884</v>
      </c>
      <c r="I59" s="121"/>
      <c r="J59" s="121"/>
      <c r="K59" s="121" t="s">
        <v>693</v>
      </c>
      <c r="L59" s="122" t="s">
        <v>694</v>
      </c>
      <c r="M59" s="121" t="s">
        <v>877</v>
      </c>
      <c r="N59" s="121"/>
      <c r="O59" s="122">
        <v>1</v>
      </c>
      <c r="P59" s="140"/>
    </row>
    <row r="60" spans="2:16" ht="36">
      <c r="B60" s="121" t="s">
        <v>699</v>
      </c>
      <c r="C60" s="121" t="s">
        <v>522</v>
      </c>
      <c r="D60" s="121" t="s">
        <v>882</v>
      </c>
      <c r="E60" s="121" t="s">
        <v>506</v>
      </c>
      <c r="F60" s="121" t="s">
        <v>547</v>
      </c>
      <c r="G60" s="121" t="s">
        <v>885</v>
      </c>
      <c r="H60" s="123" t="s">
        <v>886</v>
      </c>
      <c r="I60" s="121"/>
      <c r="J60" s="121"/>
      <c r="K60" s="121" t="s">
        <v>693</v>
      </c>
      <c r="L60" s="122" t="s">
        <v>694</v>
      </c>
      <c r="M60" s="121" t="s">
        <v>877</v>
      </c>
      <c r="N60" s="121" t="s">
        <v>873</v>
      </c>
      <c r="O60" s="122">
        <v>1</v>
      </c>
      <c r="P60" s="140"/>
    </row>
    <row r="61" spans="2:16" ht="15.75">
      <c r="B61" s="121" t="s">
        <v>699</v>
      </c>
      <c r="C61" s="121" t="s">
        <v>522</v>
      </c>
      <c r="D61" s="121" t="s">
        <v>882</v>
      </c>
      <c r="E61" s="121" t="s">
        <v>506</v>
      </c>
      <c r="F61" s="121" t="s">
        <v>523</v>
      </c>
      <c r="G61" s="121" t="s">
        <v>887</v>
      </c>
      <c r="H61" s="121" t="s">
        <v>888</v>
      </c>
      <c r="I61" s="121"/>
      <c r="J61" s="121"/>
      <c r="K61" s="121" t="s">
        <v>693</v>
      </c>
      <c r="L61" s="122" t="s">
        <v>694</v>
      </c>
      <c r="M61" s="121" t="s">
        <v>877</v>
      </c>
      <c r="N61" s="121"/>
      <c r="O61" s="122">
        <v>1</v>
      </c>
      <c r="P61" s="140" t="s">
        <v>889</v>
      </c>
    </row>
    <row r="62" spans="2:16" ht="15.75">
      <c r="B62" s="121" t="s">
        <v>699</v>
      </c>
      <c r="C62" s="121" t="s">
        <v>522</v>
      </c>
      <c r="D62" s="121" t="s">
        <v>882</v>
      </c>
      <c r="E62" s="121" t="s">
        <v>506</v>
      </c>
      <c r="F62" s="121" t="s">
        <v>536</v>
      </c>
      <c r="G62" s="121" t="s">
        <v>890</v>
      </c>
      <c r="H62" s="121" t="s">
        <v>888</v>
      </c>
      <c r="I62" s="121"/>
      <c r="J62" s="121"/>
      <c r="K62" s="121" t="s">
        <v>693</v>
      </c>
      <c r="L62" s="122" t="s">
        <v>694</v>
      </c>
      <c r="M62" s="121" t="s">
        <v>877</v>
      </c>
      <c r="N62" s="121" t="s">
        <v>618</v>
      </c>
      <c r="O62" s="122">
        <v>1</v>
      </c>
      <c r="P62" s="140"/>
    </row>
    <row r="63" spans="2:16" ht="53.25">
      <c r="B63" s="121" t="s">
        <v>699</v>
      </c>
      <c r="C63" s="121" t="s">
        <v>522</v>
      </c>
      <c r="D63" s="121" t="s">
        <v>882</v>
      </c>
      <c r="E63" s="121" t="s">
        <v>506</v>
      </c>
      <c r="F63" s="121" t="s">
        <v>609</v>
      </c>
      <c r="G63" s="121" t="s">
        <v>891</v>
      </c>
      <c r="H63" s="121" t="s">
        <v>892</v>
      </c>
      <c r="I63" s="123" t="s">
        <v>509</v>
      </c>
      <c r="J63" s="121" t="s">
        <v>511</v>
      </c>
      <c r="K63" s="121" t="s">
        <v>693</v>
      </c>
      <c r="L63" s="122" t="s">
        <v>696</v>
      </c>
      <c r="M63" s="121" t="s">
        <v>877</v>
      </c>
      <c r="N63" s="121"/>
      <c r="O63" s="122">
        <v>1</v>
      </c>
      <c r="P63" s="140"/>
    </row>
    <row r="64" spans="2:16" ht="15.75">
      <c r="B64" s="121" t="s">
        <v>699</v>
      </c>
      <c r="C64" s="121" t="s">
        <v>522</v>
      </c>
      <c r="D64" s="121" t="s">
        <v>882</v>
      </c>
      <c r="E64" s="121" t="s">
        <v>506</v>
      </c>
      <c r="F64" s="121" t="s">
        <v>589</v>
      </c>
      <c r="G64" s="121" t="s">
        <v>893</v>
      </c>
      <c r="H64" s="121" t="s">
        <v>888</v>
      </c>
      <c r="I64" s="121"/>
      <c r="J64" s="121"/>
      <c r="K64" s="121" t="s">
        <v>693</v>
      </c>
      <c r="L64" s="122" t="s">
        <v>696</v>
      </c>
      <c r="M64" s="121" t="s">
        <v>877</v>
      </c>
      <c r="N64" s="121" t="s">
        <v>835</v>
      </c>
      <c r="O64" s="122">
        <v>1</v>
      </c>
      <c r="P64" s="140"/>
    </row>
    <row r="65" spans="2:16" ht="17.25">
      <c r="B65" s="121" t="s">
        <v>699</v>
      </c>
      <c r="C65" s="121" t="s">
        <v>894</v>
      </c>
      <c r="D65" s="121" t="s">
        <v>895</v>
      </c>
      <c r="E65" s="121" t="s">
        <v>896</v>
      </c>
      <c r="F65" s="121" t="s">
        <v>897</v>
      </c>
      <c r="G65" s="121" t="s">
        <v>898</v>
      </c>
      <c r="H65" s="121"/>
      <c r="I65" s="123" t="s">
        <v>899</v>
      </c>
      <c r="J65" s="121"/>
      <c r="K65" s="121"/>
      <c r="L65" s="122" t="s">
        <v>694</v>
      </c>
      <c r="M65" s="121"/>
      <c r="N65" s="121"/>
      <c r="O65" s="122">
        <v>0</v>
      </c>
      <c r="P65" s="140"/>
    </row>
    <row r="66" spans="2:16" ht="15.75">
      <c r="B66" s="121" t="s">
        <v>690</v>
      </c>
      <c r="C66" s="121" t="s">
        <v>482</v>
      </c>
      <c r="D66" s="121" t="s">
        <v>900</v>
      </c>
      <c r="E66" s="121" t="s">
        <v>901</v>
      </c>
      <c r="F66" s="121" t="s">
        <v>321</v>
      </c>
      <c r="G66" s="121" t="s">
        <v>902</v>
      </c>
      <c r="H66" s="121"/>
      <c r="I66" s="138" t="s">
        <v>903</v>
      </c>
      <c r="J66" s="121"/>
      <c r="K66" s="121" t="s">
        <v>693</v>
      </c>
      <c r="L66" s="122" t="s">
        <v>694</v>
      </c>
      <c r="M66" s="122"/>
      <c r="N66" s="121" t="s">
        <v>741</v>
      </c>
      <c r="O66" s="122" t="s">
        <v>904</v>
      </c>
      <c r="P66" t="s">
        <v>905</v>
      </c>
    </row>
    <row r="67" spans="2:16" ht="15.75">
      <c r="B67" s="121" t="s">
        <v>705</v>
      </c>
      <c r="C67" s="121" t="s">
        <v>482</v>
      </c>
      <c r="D67" s="121" t="s">
        <v>906</v>
      </c>
      <c r="E67" s="121" t="s">
        <v>907</v>
      </c>
      <c r="F67" s="121" t="s">
        <v>908</v>
      </c>
      <c r="G67" s="121" t="s">
        <v>527</v>
      </c>
      <c r="H67" s="121"/>
      <c r="I67" s="124" t="s">
        <v>909</v>
      </c>
      <c r="J67" s="121"/>
      <c r="K67" s="121" t="s">
        <v>693</v>
      </c>
      <c r="L67" s="122" t="s">
        <v>694</v>
      </c>
      <c r="M67" s="122"/>
      <c r="N67" s="121"/>
      <c r="O67" s="122" t="s">
        <v>818</v>
      </c>
      <c r="P67" s="140"/>
    </row>
    <row r="68" spans="2:16" ht="15.75">
      <c r="B68" s="121" t="s">
        <v>705</v>
      </c>
      <c r="C68" s="121" t="s">
        <v>482</v>
      </c>
      <c r="D68" s="121" t="s">
        <v>599</v>
      </c>
      <c r="E68" s="121" t="s">
        <v>910</v>
      </c>
      <c r="F68" s="121" t="s">
        <v>605</v>
      </c>
      <c r="G68" s="121" t="s">
        <v>606</v>
      </c>
      <c r="H68" s="121"/>
      <c r="I68" s="124" t="s">
        <v>911</v>
      </c>
      <c r="J68" s="121"/>
      <c r="K68" s="121" t="s">
        <v>912</v>
      </c>
      <c r="L68" s="122" t="s">
        <v>694</v>
      </c>
      <c r="M68" s="122"/>
      <c r="N68" s="121" t="s">
        <v>741</v>
      </c>
      <c r="O68" s="122" t="s">
        <v>904</v>
      </c>
      <c r="P68" t="s">
        <v>913</v>
      </c>
    </row>
    <row r="69" spans="2:16" ht="17.25">
      <c r="B69" s="121" t="s">
        <v>366</v>
      </c>
      <c r="C69" s="121" t="s">
        <v>482</v>
      </c>
      <c r="D69" s="121" t="s">
        <v>853</v>
      </c>
      <c r="E69" s="121" t="s">
        <v>501</v>
      </c>
      <c r="F69" s="121" t="s">
        <v>467</v>
      </c>
      <c r="G69" s="121" t="s">
        <v>859</v>
      </c>
      <c r="H69" s="121" t="s">
        <v>860</v>
      </c>
      <c r="I69" s="123" t="s">
        <v>861</v>
      </c>
      <c r="J69" s="121" t="s">
        <v>532</v>
      </c>
      <c r="K69" s="121" t="s">
        <v>693</v>
      </c>
      <c r="L69" s="122" t="s">
        <v>696</v>
      </c>
      <c r="M69" s="122"/>
      <c r="N69" s="121"/>
      <c r="O69" s="122">
        <v>1</v>
      </c>
      <c r="P69" s="140" t="s">
        <v>914</v>
      </c>
    </row>
    <row r="80" spans="2:16">
      <c r="N80" t="s">
        <v>915</v>
      </c>
    </row>
  </sheetData>
  <mergeCells count="2">
    <mergeCell ref="Q14:R14"/>
    <mergeCell ref="Q10:R10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CBCD-CAE9-4195-9DBF-77076137AEF8}">
  <dimension ref="A1:N100"/>
  <sheetViews>
    <sheetView topLeftCell="A83" workbookViewId="0">
      <selection activeCell="E91" sqref="E91"/>
    </sheetView>
  </sheetViews>
  <sheetFormatPr defaultRowHeight="15"/>
  <cols>
    <col min="1" max="1" width="21" customWidth="1"/>
    <col min="2" max="2" width="13.7109375" customWidth="1"/>
    <col min="3" max="3" width="19.5703125" customWidth="1"/>
    <col min="4" max="4" width="27.42578125" customWidth="1"/>
    <col min="5" max="5" width="24" customWidth="1"/>
    <col min="6" max="6" width="23.5703125" customWidth="1"/>
    <col min="7" max="7" width="46.42578125" customWidth="1"/>
    <col min="8" max="8" width="50.140625" customWidth="1"/>
    <col min="9" max="9" width="25.85546875" customWidth="1"/>
    <col min="10" max="10" width="24.140625" customWidth="1"/>
    <col min="11" max="11" width="9.140625" style="101"/>
    <col min="12" max="12" width="31.140625" customWidth="1"/>
    <col min="13" max="13" width="36.5703125" bestFit="1" customWidth="1"/>
    <col min="14" max="14" width="28.140625" bestFit="1" customWidth="1"/>
  </cols>
  <sheetData>
    <row r="1" spans="1:13">
      <c r="A1" s="17" t="s">
        <v>916</v>
      </c>
      <c r="B1" s="17" t="s">
        <v>20</v>
      </c>
      <c r="C1" s="17" t="s">
        <v>21</v>
      </c>
      <c r="D1" s="17" t="s">
        <v>22</v>
      </c>
      <c r="E1" s="17" t="s">
        <v>23</v>
      </c>
      <c r="F1" s="17" t="s">
        <v>681</v>
      </c>
      <c r="G1" s="17" t="s">
        <v>26</v>
      </c>
      <c r="H1" s="17" t="s">
        <v>28</v>
      </c>
      <c r="I1" s="17" t="s">
        <v>30</v>
      </c>
      <c r="J1" s="17" t="s">
        <v>682</v>
      </c>
      <c r="K1" s="102" t="s">
        <v>683</v>
      </c>
      <c r="L1" t="s">
        <v>917</v>
      </c>
    </row>
    <row r="2" spans="1:13" ht="23.25" customHeight="1">
      <c r="A2" t="s">
        <v>366</v>
      </c>
      <c r="B2" t="s">
        <v>464</v>
      </c>
      <c r="C2" t="s">
        <v>714</v>
      </c>
      <c r="D2" t="s">
        <v>554</v>
      </c>
      <c r="E2" t="s">
        <v>715</v>
      </c>
      <c r="F2" t="s">
        <v>716</v>
      </c>
      <c r="G2" s="98" t="s">
        <v>717</v>
      </c>
      <c r="I2" t="s">
        <v>532</v>
      </c>
      <c r="J2" t="s">
        <v>718</v>
      </c>
      <c r="K2" s="101" t="s">
        <v>694</v>
      </c>
    </row>
    <row r="3" spans="1:13">
      <c r="A3" t="s">
        <v>366</v>
      </c>
      <c r="B3" t="s">
        <v>464</v>
      </c>
      <c r="C3" s="29" t="s">
        <v>714</v>
      </c>
      <c r="D3" t="s">
        <v>554</v>
      </c>
      <c r="E3" t="s">
        <v>720</v>
      </c>
      <c r="F3" t="s">
        <v>721</v>
      </c>
      <c r="G3" t="s">
        <v>717</v>
      </c>
      <c r="H3" t="s">
        <v>557</v>
      </c>
      <c r="I3" t="s">
        <v>532</v>
      </c>
      <c r="J3" t="s">
        <v>718</v>
      </c>
      <c r="K3" s="101" t="s">
        <v>694</v>
      </c>
    </row>
    <row r="4" spans="1:13">
      <c r="A4" t="s">
        <v>366</v>
      </c>
      <c r="B4" t="s">
        <v>464</v>
      </c>
      <c r="C4" s="29" t="s">
        <v>714</v>
      </c>
      <c r="D4" t="s">
        <v>554</v>
      </c>
      <c r="E4" t="s">
        <v>722</v>
      </c>
      <c r="F4" t="s">
        <v>723</v>
      </c>
      <c r="G4" t="s">
        <v>717</v>
      </c>
      <c r="H4" t="s">
        <v>557</v>
      </c>
      <c r="I4" t="s">
        <v>532</v>
      </c>
      <c r="J4" t="s">
        <v>724</v>
      </c>
      <c r="K4" s="101" t="s">
        <v>694</v>
      </c>
      <c r="L4" s="98"/>
      <c r="M4" s="98"/>
    </row>
    <row r="5" spans="1:13">
      <c r="A5" t="s">
        <v>366</v>
      </c>
      <c r="B5" t="s">
        <v>464</v>
      </c>
      <c r="C5" s="29" t="s">
        <v>714</v>
      </c>
      <c r="D5" t="s">
        <v>554</v>
      </c>
      <c r="E5" t="s">
        <v>726</v>
      </c>
      <c r="F5" s="98" t="s">
        <v>727</v>
      </c>
      <c r="G5" t="s">
        <v>717</v>
      </c>
      <c r="J5" t="s">
        <v>718</v>
      </c>
      <c r="K5" s="101" t="s">
        <v>694</v>
      </c>
      <c r="M5" s="98"/>
    </row>
    <row r="6" spans="1:13">
      <c r="C6" s="29"/>
      <c r="F6" s="98"/>
      <c r="M6" s="98"/>
    </row>
    <row r="7" spans="1:13">
      <c r="C7" s="29"/>
      <c r="F7" s="98"/>
      <c r="M7" s="98"/>
    </row>
    <row r="8" spans="1:13">
      <c r="B8" s="29"/>
      <c r="C8" s="29"/>
      <c r="F8" s="98"/>
      <c r="M8" s="98"/>
    </row>
    <row r="9" spans="1:13">
      <c r="C9" s="29"/>
      <c r="F9" s="98"/>
      <c r="M9" s="98"/>
    </row>
    <row r="10" spans="1:13">
      <c r="C10" s="29"/>
      <c r="F10" s="98"/>
      <c r="M10" s="98"/>
    </row>
    <row r="11" spans="1:13">
      <c r="C11" s="29"/>
      <c r="F11" s="98"/>
      <c r="M11" s="98"/>
    </row>
    <row r="12" spans="1:13" ht="30.75">
      <c r="A12" t="s">
        <v>362</v>
      </c>
      <c r="B12" t="s">
        <v>40</v>
      </c>
      <c r="C12" t="s">
        <v>706</v>
      </c>
      <c r="D12" s="98" t="s">
        <v>707</v>
      </c>
      <c r="E12" t="s">
        <v>461</v>
      </c>
      <c r="F12" t="s">
        <v>527</v>
      </c>
      <c r="G12" t="s">
        <v>708</v>
      </c>
      <c r="H12" t="s">
        <v>692</v>
      </c>
      <c r="K12" s="101" t="s">
        <v>694</v>
      </c>
    </row>
    <row r="13" spans="1:13" ht="30.75">
      <c r="A13" t="s">
        <v>362</v>
      </c>
      <c r="B13" t="s">
        <v>40</v>
      </c>
      <c r="C13" t="s">
        <v>706</v>
      </c>
      <c r="D13" s="98" t="s">
        <v>707</v>
      </c>
      <c r="E13" t="s">
        <v>425</v>
      </c>
      <c r="F13" t="s">
        <v>498</v>
      </c>
      <c r="G13" t="s">
        <v>709</v>
      </c>
      <c r="H13" t="s">
        <v>692</v>
      </c>
      <c r="I13" t="s">
        <v>710</v>
      </c>
      <c r="J13" t="s">
        <v>693</v>
      </c>
      <c r="K13" s="101" t="s">
        <v>694</v>
      </c>
    </row>
    <row r="14" spans="1:13">
      <c r="A14" t="s">
        <v>362</v>
      </c>
      <c r="B14" t="s">
        <v>40</v>
      </c>
      <c r="C14" t="s">
        <v>706</v>
      </c>
      <c r="D14" s="29" t="s">
        <v>707</v>
      </c>
      <c r="E14" t="s">
        <v>492</v>
      </c>
      <c r="F14" s="105" t="s">
        <v>493</v>
      </c>
      <c r="G14" t="s">
        <v>711</v>
      </c>
      <c r="H14" t="s">
        <v>692</v>
      </c>
      <c r="I14" t="s">
        <v>710</v>
      </c>
      <c r="J14" t="s">
        <v>693</v>
      </c>
      <c r="K14" s="101" t="s">
        <v>694</v>
      </c>
      <c r="L14" s="104"/>
    </row>
    <row r="15" spans="1:13" ht="30.75">
      <c r="A15" t="s">
        <v>362</v>
      </c>
      <c r="B15" t="s">
        <v>40</v>
      </c>
      <c r="C15" s="98" t="s">
        <v>691</v>
      </c>
      <c r="E15" t="s">
        <v>150</v>
      </c>
      <c r="F15" t="s">
        <v>151</v>
      </c>
      <c r="G15" t="s">
        <v>107</v>
      </c>
      <c r="H15" t="s">
        <v>692</v>
      </c>
      <c r="I15" t="s">
        <v>488</v>
      </c>
      <c r="J15" t="s">
        <v>693</v>
      </c>
      <c r="K15" s="101" t="s">
        <v>694</v>
      </c>
    </row>
    <row r="16" spans="1:13" ht="30.75">
      <c r="A16" t="s">
        <v>362</v>
      </c>
      <c r="B16" t="s">
        <v>464</v>
      </c>
      <c r="C16" s="98" t="s">
        <v>691</v>
      </c>
      <c r="E16" t="s">
        <v>484</v>
      </c>
      <c r="F16" t="s">
        <v>485</v>
      </c>
      <c r="G16" t="s">
        <v>698</v>
      </c>
      <c r="H16" t="s">
        <v>692</v>
      </c>
      <c r="I16" t="s">
        <v>488</v>
      </c>
      <c r="J16" t="s">
        <v>693</v>
      </c>
      <c r="K16" s="101" t="s">
        <v>694</v>
      </c>
    </row>
    <row r="17" spans="1:11">
      <c r="A17" t="s">
        <v>362</v>
      </c>
      <c r="B17" t="s">
        <v>464</v>
      </c>
      <c r="C17" s="98" t="s">
        <v>700</v>
      </c>
      <c r="E17" t="s">
        <v>454</v>
      </c>
      <c r="F17" t="s">
        <v>541</v>
      </c>
      <c r="G17" t="s">
        <v>701</v>
      </c>
      <c r="H17" t="s">
        <v>702</v>
      </c>
      <c r="J17" t="s">
        <v>693</v>
      </c>
      <c r="K17" s="101" t="s">
        <v>694</v>
      </c>
    </row>
    <row r="18" spans="1:11">
      <c r="A18" t="s">
        <v>362</v>
      </c>
      <c r="B18" t="s">
        <v>464</v>
      </c>
      <c r="C18" t="s">
        <v>700</v>
      </c>
      <c r="E18" t="s">
        <v>327</v>
      </c>
      <c r="F18" t="s">
        <v>552</v>
      </c>
      <c r="G18" t="s">
        <v>703</v>
      </c>
      <c r="H18" t="s">
        <v>704</v>
      </c>
      <c r="J18" t="s">
        <v>693</v>
      </c>
      <c r="K18" s="101" t="s">
        <v>694</v>
      </c>
    </row>
    <row r="19" spans="1:11">
      <c r="A19" t="s">
        <v>362</v>
      </c>
      <c r="B19" t="s">
        <v>464</v>
      </c>
      <c r="C19" t="s">
        <v>706</v>
      </c>
      <c r="E19" t="s">
        <v>712</v>
      </c>
      <c r="F19" t="s">
        <v>99</v>
      </c>
      <c r="G19" t="s">
        <v>713</v>
      </c>
      <c r="H19" t="s">
        <v>692</v>
      </c>
      <c r="I19" t="s">
        <v>710</v>
      </c>
      <c r="J19" t="s">
        <v>693</v>
      </c>
      <c r="K19" s="101" t="s">
        <v>694</v>
      </c>
    </row>
    <row r="20" spans="1:11">
      <c r="A20" t="s">
        <v>366</v>
      </c>
      <c r="B20" t="s">
        <v>464</v>
      </c>
      <c r="C20" t="s">
        <v>714</v>
      </c>
      <c r="D20" t="s">
        <v>554</v>
      </c>
      <c r="E20" t="s">
        <v>728</v>
      </c>
      <c r="F20" t="s">
        <v>729</v>
      </c>
      <c r="G20" t="s">
        <v>717</v>
      </c>
      <c r="H20" t="s">
        <v>557</v>
      </c>
      <c r="I20" t="s">
        <v>532</v>
      </c>
      <c r="J20" t="s">
        <v>718</v>
      </c>
      <c r="K20" s="101" t="s">
        <v>694</v>
      </c>
    </row>
    <row r="21" spans="1:11">
      <c r="A21" t="s">
        <v>366</v>
      </c>
      <c r="B21" t="s">
        <v>40</v>
      </c>
      <c r="C21" t="s">
        <v>714</v>
      </c>
      <c r="D21" t="s">
        <v>554</v>
      </c>
      <c r="E21" t="s">
        <v>731</v>
      </c>
      <c r="F21" t="s">
        <v>732</v>
      </c>
      <c r="G21" t="s">
        <v>717</v>
      </c>
      <c r="H21" t="s">
        <v>557</v>
      </c>
      <c r="I21" t="s">
        <v>532</v>
      </c>
      <c r="J21" t="s">
        <v>718</v>
      </c>
      <c r="K21" s="101" t="s">
        <v>694</v>
      </c>
    </row>
    <row r="22" spans="1:11">
      <c r="A22" t="s">
        <v>366</v>
      </c>
      <c r="B22" t="s">
        <v>464</v>
      </c>
      <c r="C22" t="s">
        <v>714</v>
      </c>
      <c r="D22" t="s">
        <v>554</v>
      </c>
      <c r="E22" t="s">
        <v>733</v>
      </c>
      <c r="F22" t="s">
        <v>734</v>
      </c>
      <c r="G22" t="s">
        <v>717</v>
      </c>
      <c r="H22" t="s">
        <v>557</v>
      </c>
      <c r="I22" t="s">
        <v>532</v>
      </c>
      <c r="J22" t="s">
        <v>718</v>
      </c>
      <c r="K22" s="101" t="s">
        <v>694</v>
      </c>
    </row>
    <row r="23" spans="1:11">
      <c r="A23" t="s">
        <v>366</v>
      </c>
      <c r="B23" t="s">
        <v>464</v>
      </c>
      <c r="C23" t="s">
        <v>714</v>
      </c>
      <c r="D23" t="s">
        <v>554</v>
      </c>
      <c r="E23" t="s">
        <v>735</v>
      </c>
      <c r="F23" t="s">
        <v>736</v>
      </c>
      <c r="G23" t="s">
        <v>717</v>
      </c>
      <c r="H23" t="s">
        <v>557</v>
      </c>
      <c r="I23" t="s">
        <v>532</v>
      </c>
      <c r="J23" t="s">
        <v>462</v>
      </c>
      <c r="K23" s="101" t="s">
        <v>694</v>
      </c>
    </row>
    <row r="24" spans="1:11">
      <c r="A24" t="s">
        <v>366</v>
      </c>
      <c r="B24" t="s">
        <v>464</v>
      </c>
      <c r="C24" t="s">
        <v>714</v>
      </c>
      <c r="D24" t="s">
        <v>737</v>
      </c>
      <c r="E24" t="s">
        <v>518</v>
      </c>
      <c r="F24" t="s">
        <v>519</v>
      </c>
      <c r="K24" s="101" t="s">
        <v>694</v>
      </c>
    </row>
    <row r="25" spans="1:11">
      <c r="A25" t="s">
        <v>366</v>
      </c>
      <c r="B25" t="s">
        <v>464</v>
      </c>
      <c r="C25" t="s">
        <v>714</v>
      </c>
      <c r="D25" t="s">
        <v>554</v>
      </c>
      <c r="E25" t="s">
        <v>738</v>
      </c>
      <c r="F25" t="s">
        <v>739</v>
      </c>
      <c r="G25" t="s">
        <v>717</v>
      </c>
      <c r="H25" t="s">
        <v>557</v>
      </c>
      <c r="I25" t="s">
        <v>532</v>
      </c>
      <c r="J25" t="s">
        <v>724</v>
      </c>
      <c r="K25" s="101" t="s">
        <v>694</v>
      </c>
    </row>
    <row r="26" spans="1:11">
      <c r="A26" t="s">
        <v>366</v>
      </c>
      <c r="B26" t="s">
        <v>464</v>
      </c>
      <c r="C26" t="s">
        <v>714</v>
      </c>
      <c r="D26" t="s">
        <v>554</v>
      </c>
      <c r="E26" t="s">
        <v>740</v>
      </c>
      <c r="F26" t="s">
        <v>206</v>
      </c>
      <c r="H26" t="s">
        <v>557</v>
      </c>
      <c r="I26" t="s">
        <v>532</v>
      </c>
      <c r="K26" s="101" t="s">
        <v>694</v>
      </c>
    </row>
    <row r="27" spans="1:11">
      <c r="A27" t="s">
        <v>366</v>
      </c>
      <c r="B27" t="s">
        <v>464</v>
      </c>
      <c r="C27" t="s">
        <v>714</v>
      </c>
      <c r="D27" t="s">
        <v>554</v>
      </c>
      <c r="E27" t="s">
        <v>743</v>
      </c>
      <c r="F27" t="s">
        <v>744</v>
      </c>
      <c r="G27" t="s">
        <v>717</v>
      </c>
      <c r="H27" t="s">
        <v>557</v>
      </c>
      <c r="I27" t="s">
        <v>532</v>
      </c>
      <c r="J27" t="s">
        <v>718</v>
      </c>
      <c r="K27" s="101" t="s">
        <v>694</v>
      </c>
    </row>
    <row r="28" spans="1:11">
      <c r="A28" t="s">
        <v>301</v>
      </c>
      <c r="B28" t="s">
        <v>482</v>
      </c>
      <c r="C28" t="s">
        <v>918</v>
      </c>
      <c r="D28" t="s">
        <v>554</v>
      </c>
      <c r="E28" s="107" t="s">
        <v>740</v>
      </c>
      <c r="F28" t="s">
        <v>865</v>
      </c>
      <c r="G28" s="29" t="s">
        <v>717</v>
      </c>
      <c r="H28" s="29" t="s">
        <v>557</v>
      </c>
      <c r="I28" s="29" t="s">
        <v>532</v>
      </c>
      <c r="J28" s="29" t="s">
        <v>718</v>
      </c>
      <c r="K28" s="108">
        <v>41306</v>
      </c>
    </row>
    <row r="29" spans="1:11">
      <c r="A29" t="s">
        <v>366</v>
      </c>
      <c r="B29" t="s">
        <v>464</v>
      </c>
      <c r="C29" t="s">
        <v>714</v>
      </c>
      <c r="D29" t="s">
        <v>554</v>
      </c>
      <c r="E29" t="s">
        <v>745</v>
      </c>
      <c r="F29" t="s">
        <v>746</v>
      </c>
      <c r="G29" t="s">
        <v>717</v>
      </c>
      <c r="H29" t="s">
        <v>557</v>
      </c>
      <c r="I29" t="s">
        <v>532</v>
      </c>
      <c r="J29" t="s">
        <v>718</v>
      </c>
      <c r="K29" s="101" t="s">
        <v>694</v>
      </c>
    </row>
    <row r="30" spans="1:11">
      <c r="A30" t="s">
        <v>366</v>
      </c>
      <c r="B30" t="s">
        <v>464</v>
      </c>
      <c r="C30" t="s">
        <v>714</v>
      </c>
      <c r="D30" t="s">
        <v>554</v>
      </c>
      <c r="E30" t="s">
        <v>555</v>
      </c>
      <c r="F30" t="s">
        <v>556</v>
      </c>
      <c r="G30" t="s">
        <v>717</v>
      </c>
      <c r="H30" t="s">
        <v>557</v>
      </c>
      <c r="I30" t="s">
        <v>532</v>
      </c>
      <c r="J30" t="s">
        <v>718</v>
      </c>
      <c r="K30" s="101" t="s">
        <v>694</v>
      </c>
    </row>
    <row r="31" spans="1:11" ht="30.75">
      <c r="A31" t="s">
        <v>919</v>
      </c>
      <c r="B31" t="s">
        <v>894</v>
      </c>
      <c r="C31" t="s">
        <v>895</v>
      </c>
      <c r="D31" t="s">
        <v>896</v>
      </c>
      <c r="E31" t="s">
        <v>897</v>
      </c>
      <c r="F31" t="s">
        <v>898</v>
      </c>
      <c r="H31" s="98" t="s">
        <v>899</v>
      </c>
      <c r="I31" t="s">
        <v>920</v>
      </c>
      <c r="K31" s="101" t="s">
        <v>694</v>
      </c>
    </row>
    <row r="32" spans="1:11">
      <c r="A32" t="s">
        <v>362</v>
      </c>
      <c r="B32" t="s">
        <v>464</v>
      </c>
      <c r="C32" t="s">
        <v>714</v>
      </c>
      <c r="D32" t="s">
        <v>554</v>
      </c>
      <c r="E32" t="s">
        <v>747</v>
      </c>
      <c r="F32" t="s">
        <v>748</v>
      </c>
      <c r="G32" t="s">
        <v>717</v>
      </c>
      <c r="J32" t="s">
        <v>718</v>
      </c>
      <c r="K32" s="101" t="s">
        <v>694</v>
      </c>
    </row>
    <row r="33" spans="1:14">
      <c r="A33" t="s">
        <v>362</v>
      </c>
      <c r="B33" t="s">
        <v>482</v>
      </c>
      <c r="C33" t="s">
        <v>758</v>
      </c>
      <c r="D33" t="s">
        <v>759</v>
      </c>
      <c r="E33" t="s">
        <v>350</v>
      </c>
      <c r="F33" t="s">
        <v>649</v>
      </c>
      <c r="G33" t="s">
        <v>760</v>
      </c>
      <c r="H33" t="s">
        <v>761</v>
      </c>
      <c r="I33" t="s">
        <v>762</v>
      </c>
      <c r="J33" t="s">
        <v>693</v>
      </c>
      <c r="K33" s="101" t="s">
        <v>694</v>
      </c>
    </row>
    <row r="35" spans="1:14" ht="30.75">
      <c r="A35" t="s">
        <v>362</v>
      </c>
      <c r="B35" t="s">
        <v>482</v>
      </c>
      <c r="C35" s="98" t="s">
        <v>691</v>
      </c>
      <c r="D35" t="s">
        <v>921</v>
      </c>
      <c r="E35" t="s">
        <v>774</v>
      </c>
      <c r="F35" s="98" t="s">
        <v>775</v>
      </c>
      <c r="G35" t="s">
        <v>698</v>
      </c>
      <c r="H35" t="s">
        <v>692</v>
      </c>
      <c r="I35" t="s">
        <v>488</v>
      </c>
      <c r="J35" t="s">
        <v>693</v>
      </c>
      <c r="K35" s="101" t="s">
        <v>694</v>
      </c>
    </row>
    <row r="36" spans="1:14" ht="30.75">
      <c r="A36" t="s">
        <v>366</v>
      </c>
      <c r="B36" s="9" t="s">
        <v>482</v>
      </c>
      <c r="C36" s="9" t="s">
        <v>749</v>
      </c>
      <c r="D36" t="s">
        <v>750</v>
      </c>
      <c r="E36" t="s">
        <v>352</v>
      </c>
      <c r="F36" t="s">
        <v>751</v>
      </c>
      <c r="G36" t="s">
        <v>717</v>
      </c>
      <c r="H36" s="9" t="s">
        <v>752</v>
      </c>
      <c r="I36" s="98" t="s">
        <v>922</v>
      </c>
      <c r="J36" t="s">
        <v>693</v>
      </c>
      <c r="K36" s="101" t="s">
        <v>694</v>
      </c>
    </row>
    <row r="37" spans="1:14" ht="30.75">
      <c r="A37" t="s">
        <v>366</v>
      </c>
      <c r="B37" s="9" t="s">
        <v>482</v>
      </c>
      <c r="C37" s="9" t="s">
        <v>749</v>
      </c>
      <c r="D37" t="s">
        <v>750</v>
      </c>
      <c r="E37" t="s">
        <v>754</v>
      </c>
      <c r="F37" t="s">
        <v>755</v>
      </c>
      <c r="G37" t="s">
        <v>756</v>
      </c>
      <c r="H37" s="9" t="s">
        <v>752</v>
      </c>
      <c r="I37" s="98" t="s">
        <v>923</v>
      </c>
      <c r="J37" t="s">
        <v>693</v>
      </c>
      <c r="K37" s="101" t="s">
        <v>694</v>
      </c>
    </row>
    <row r="38" spans="1:14" ht="30.75">
      <c r="A38" t="s">
        <v>366</v>
      </c>
      <c r="B38" s="9" t="s">
        <v>482</v>
      </c>
      <c r="C38" s="9" t="s">
        <v>749</v>
      </c>
      <c r="D38" t="s">
        <v>750</v>
      </c>
      <c r="E38" t="s">
        <v>335</v>
      </c>
      <c r="F38" t="s">
        <v>757</v>
      </c>
      <c r="G38" t="s">
        <v>717</v>
      </c>
      <c r="H38" s="9" t="s">
        <v>752</v>
      </c>
      <c r="I38" s="98" t="s">
        <v>923</v>
      </c>
      <c r="J38" t="s">
        <v>693</v>
      </c>
      <c r="K38" s="101" t="s">
        <v>694</v>
      </c>
    </row>
    <row r="39" spans="1:14" ht="30.75">
      <c r="A39" t="s">
        <v>362</v>
      </c>
      <c r="B39" t="s">
        <v>482</v>
      </c>
      <c r="C39" s="98" t="s">
        <v>691</v>
      </c>
      <c r="D39" t="s">
        <v>924</v>
      </c>
      <c r="E39" t="s">
        <v>384</v>
      </c>
      <c r="F39" s="98" t="s">
        <v>778</v>
      </c>
      <c r="G39" t="s">
        <v>779</v>
      </c>
      <c r="H39" t="s">
        <v>692</v>
      </c>
      <c r="I39" s="29" t="s">
        <v>488</v>
      </c>
      <c r="J39" t="s">
        <v>693</v>
      </c>
      <c r="K39" s="101" t="s">
        <v>694</v>
      </c>
    </row>
    <row r="40" spans="1:14" ht="30.75">
      <c r="A40" t="s">
        <v>362</v>
      </c>
      <c r="B40" t="s">
        <v>482</v>
      </c>
      <c r="C40" s="98" t="s">
        <v>691</v>
      </c>
      <c r="D40" t="s">
        <v>924</v>
      </c>
      <c r="E40" t="s">
        <v>112</v>
      </c>
      <c r="F40" t="s">
        <v>113</v>
      </c>
      <c r="G40" t="s">
        <v>781</v>
      </c>
      <c r="H40" t="s">
        <v>692</v>
      </c>
      <c r="I40" t="s">
        <v>488</v>
      </c>
      <c r="J40" t="s">
        <v>693</v>
      </c>
      <c r="K40" s="101" t="s">
        <v>694</v>
      </c>
    </row>
    <row r="41" spans="1:14" ht="30.75">
      <c r="A41" t="s">
        <v>301</v>
      </c>
      <c r="B41" t="s">
        <v>482</v>
      </c>
      <c r="C41" t="s">
        <v>925</v>
      </c>
      <c r="D41" t="s">
        <v>501</v>
      </c>
      <c r="E41" t="s">
        <v>857</v>
      </c>
      <c r="G41" t="s">
        <v>717</v>
      </c>
      <c r="H41" s="98" t="s">
        <v>502</v>
      </c>
      <c r="I41" t="s">
        <v>926</v>
      </c>
      <c r="J41" t="s">
        <v>693</v>
      </c>
      <c r="K41" s="101" t="s">
        <v>694</v>
      </c>
    </row>
    <row r="42" spans="1:14">
      <c r="A42" t="s">
        <v>699</v>
      </c>
      <c r="B42" t="s">
        <v>522</v>
      </c>
      <c r="C42" t="s">
        <v>882</v>
      </c>
      <c r="D42" t="s">
        <v>506</v>
      </c>
      <c r="E42" t="s">
        <v>507</v>
      </c>
      <c r="F42" t="s">
        <v>883</v>
      </c>
      <c r="G42" t="s">
        <v>884</v>
      </c>
      <c r="J42" t="s">
        <v>693</v>
      </c>
      <c r="K42" s="101" t="s">
        <v>694</v>
      </c>
      <c r="L42" t="s">
        <v>877</v>
      </c>
      <c r="M42" t="s">
        <v>927</v>
      </c>
      <c r="N42" t="s">
        <v>928</v>
      </c>
    </row>
    <row r="43" spans="1:14">
      <c r="A43" t="s">
        <v>699</v>
      </c>
      <c r="B43" t="s">
        <v>522</v>
      </c>
      <c r="C43" t="s">
        <v>882</v>
      </c>
      <c r="D43" t="s">
        <v>506</v>
      </c>
      <c r="E43" t="s">
        <v>547</v>
      </c>
      <c r="F43" t="s">
        <v>885</v>
      </c>
      <c r="G43" t="s">
        <v>886</v>
      </c>
      <c r="J43" t="s">
        <v>693</v>
      </c>
      <c r="K43" s="101" t="s">
        <v>694</v>
      </c>
      <c r="L43" t="s">
        <v>877</v>
      </c>
      <c r="M43" t="s">
        <v>927</v>
      </c>
      <c r="N43" t="s">
        <v>928</v>
      </c>
    </row>
    <row r="44" spans="1:14">
      <c r="A44" t="s">
        <v>699</v>
      </c>
      <c r="B44" t="s">
        <v>522</v>
      </c>
      <c r="C44" t="s">
        <v>882</v>
      </c>
      <c r="D44" t="s">
        <v>506</v>
      </c>
      <c r="E44" t="s">
        <v>523</v>
      </c>
      <c r="F44" t="s">
        <v>887</v>
      </c>
      <c r="G44" t="s">
        <v>888</v>
      </c>
      <c r="J44" t="s">
        <v>693</v>
      </c>
      <c r="K44" s="101" t="s">
        <v>694</v>
      </c>
      <c r="L44" t="s">
        <v>877</v>
      </c>
      <c r="M44" t="s">
        <v>927</v>
      </c>
      <c r="N44" t="s">
        <v>928</v>
      </c>
    </row>
    <row r="45" spans="1:14">
      <c r="A45" t="s">
        <v>699</v>
      </c>
      <c r="B45" t="s">
        <v>522</v>
      </c>
      <c r="C45" t="s">
        <v>882</v>
      </c>
      <c r="D45" t="s">
        <v>506</v>
      </c>
      <c r="E45" t="s">
        <v>536</v>
      </c>
      <c r="F45" t="s">
        <v>890</v>
      </c>
      <c r="G45" t="s">
        <v>888</v>
      </c>
      <c r="J45" t="s">
        <v>693</v>
      </c>
      <c r="K45" s="101" t="s">
        <v>694</v>
      </c>
      <c r="L45" t="s">
        <v>877</v>
      </c>
      <c r="M45" t="s">
        <v>927</v>
      </c>
      <c r="N45" t="s">
        <v>928</v>
      </c>
    </row>
    <row r="46" spans="1:14">
      <c r="A46" t="s">
        <v>301</v>
      </c>
      <c r="B46" t="s">
        <v>482</v>
      </c>
      <c r="C46" t="s">
        <v>929</v>
      </c>
      <c r="D46" t="s">
        <v>750</v>
      </c>
      <c r="E46" t="s">
        <v>545</v>
      </c>
      <c r="G46" t="s">
        <v>854</v>
      </c>
      <c r="H46" s="35" t="s">
        <v>855</v>
      </c>
      <c r="I46" t="s">
        <v>930</v>
      </c>
      <c r="J46" t="s">
        <v>693</v>
      </c>
      <c r="K46" s="101" t="s">
        <v>694</v>
      </c>
    </row>
    <row r="47" spans="1:14" ht="45.75">
      <c r="A47" t="s">
        <v>301</v>
      </c>
      <c r="B47" t="s">
        <v>931</v>
      </c>
      <c r="C47" t="s">
        <v>932</v>
      </c>
      <c r="D47" t="s">
        <v>867</v>
      </c>
      <c r="E47" t="s">
        <v>868</v>
      </c>
      <c r="F47" t="s">
        <v>869</v>
      </c>
      <c r="G47" s="98" t="s">
        <v>870</v>
      </c>
      <c r="H47" s="98" t="s">
        <v>871</v>
      </c>
      <c r="I47" s="98" t="s">
        <v>933</v>
      </c>
      <c r="J47" t="s">
        <v>693</v>
      </c>
      <c r="K47" s="101" t="s">
        <v>694</v>
      </c>
      <c r="L47" t="s">
        <v>872</v>
      </c>
    </row>
    <row r="72" spans="1:12">
      <c r="A72" s="99" t="s">
        <v>916</v>
      </c>
      <c r="B72" s="99" t="s">
        <v>20</v>
      </c>
      <c r="C72" s="99" t="s">
        <v>21</v>
      </c>
      <c r="D72" s="99" t="s">
        <v>22</v>
      </c>
      <c r="E72" s="99" t="s">
        <v>23</v>
      </c>
      <c r="F72" s="99" t="s">
        <v>681</v>
      </c>
      <c r="G72" s="99" t="s">
        <v>26</v>
      </c>
      <c r="H72" s="99" t="s">
        <v>28</v>
      </c>
      <c r="I72" s="99" t="s">
        <v>30</v>
      </c>
      <c r="J72" s="99" t="s">
        <v>682</v>
      </c>
      <c r="K72" s="103" t="s">
        <v>683</v>
      </c>
      <c r="L72" s="100" t="s">
        <v>917</v>
      </c>
    </row>
    <row r="73" spans="1:12" ht="30.75">
      <c r="A73" t="s">
        <v>362</v>
      </c>
      <c r="B73" t="s">
        <v>482</v>
      </c>
      <c r="C73" s="98" t="s">
        <v>797</v>
      </c>
      <c r="D73" t="s">
        <v>798</v>
      </c>
      <c r="E73" t="s">
        <v>799</v>
      </c>
      <c r="F73" t="s">
        <v>800</v>
      </c>
      <c r="G73" s="98" t="s">
        <v>801</v>
      </c>
      <c r="H73" t="s">
        <v>802</v>
      </c>
      <c r="I73" t="s">
        <v>803</v>
      </c>
      <c r="J73" t="s">
        <v>693</v>
      </c>
      <c r="K73" s="101" t="s">
        <v>696</v>
      </c>
    </row>
    <row r="74" spans="1:12" ht="45.75">
      <c r="A74" t="s">
        <v>362</v>
      </c>
      <c r="B74" t="s">
        <v>482</v>
      </c>
      <c r="C74" t="s">
        <v>758</v>
      </c>
      <c r="D74" t="s">
        <v>675</v>
      </c>
      <c r="E74" t="s">
        <v>763</v>
      </c>
      <c r="F74" t="s">
        <v>764</v>
      </c>
      <c r="G74" t="s">
        <v>765</v>
      </c>
      <c r="H74" s="98" t="s">
        <v>766</v>
      </c>
      <c r="I74" t="s">
        <v>767</v>
      </c>
      <c r="J74" t="s">
        <v>693</v>
      </c>
      <c r="K74" s="101" t="s">
        <v>696</v>
      </c>
    </row>
    <row r="75" spans="1:12" ht="60.75">
      <c r="A75" t="s">
        <v>366</v>
      </c>
      <c r="B75" t="s">
        <v>482</v>
      </c>
      <c r="C75" t="s">
        <v>830</v>
      </c>
      <c r="D75" t="s">
        <v>831</v>
      </c>
      <c r="E75" t="s">
        <v>53</v>
      </c>
      <c r="F75" t="s">
        <v>832</v>
      </c>
      <c r="G75" t="s">
        <v>833</v>
      </c>
      <c r="H75" s="98" t="s">
        <v>834</v>
      </c>
      <c r="I75" t="s">
        <v>788</v>
      </c>
      <c r="J75" t="s">
        <v>693</v>
      </c>
      <c r="K75" s="101" t="s">
        <v>696</v>
      </c>
    </row>
    <row r="76" spans="1:12" ht="45.75">
      <c r="A76" t="s">
        <v>301</v>
      </c>
      <c r="B76" t="s">
        <v>482</v>
      </c>
      <c r="C76" t="s">
        <v>830</v>
      </c>
      <c r="D76" t="s">
        <v>831</v>
      </c>
      <c r="E76" t="s">
        <v>65</v>
      </c>
      <c r="F76" t="s">
        <v>836</v>
      </c>
      <c r="G76" t="s">
        <v>833</v>
      </c>
      <c r="H76" s="98" t="s">
        <v>837</v>
      </c>
      <c r="I76" t="s">
        <v>788</v>
      </c>
      <c r="J76" t="s">
        <v>693</v>
      </c>
      <c r="K76" s="101" t="s">
        <v>696</v>
      </c>
    </row>
    <row r="77" spans="1:12" ht="45.75">
      <c r="A77" t="s">
        <v>301</v>
      </c>
      <c r="B77" t="s">
        <v>482</v>
      </c>
      <c r="C77" t="s">
        <v>838</v>
      </c>
      <c r="D77" s="98" t="s">
        <v>831</v>
      </c>
      <c r="E77" t="s">
        <v>69</v>
      </c>
      <c r="F77" t="s">
        <v>839</v>
      </c>
      <c r="G77" t="s">
        <v>833</v>
      </c>
      <c r="H77" s="98" t="s">
        <v>840</v>
      </c>
      <c r="I77" t="s">
        <v>788</v>
      </c>
      <c r="J77" t="s">
        <v>693</v>
      </c>
      <c r="K77" s="101" t="s">
        <v>696</v>
      </c>
    </row>
    <row r="78" spans="1:12" ht="60.75">
      <c r="A78" t="s">
        <v>301</v>
      </c>
      <c r="B78" t="s">
        <v>482</v>
      </c>
      <c r="C78" t="s">
        <v>841</v>
      </c>
      <c r="D78" t="s">
        <v>41</v>
      </c>
      <c r="E78" t="s">
        <v>842</v>
      </c>
      <c r="F78" t="s">
        <v>843</v>
      </c>
      <c r="G78" t="s">
        <v>844</v>
      </c>
      <c r="H78" s="98" t="s">
        <v>845</v>
      </c>
      <c r="I78" s="31" t="s">
        <v>846</v>
      </c>
      <c r="J78" t="s">
        <v>693</v>
      </c>
      <c r="K78" s="101" t="s">
        <v>696</v>
      </c>
    </row>
    <row r="79" spans="1:12" ht="30.75">
      <c r="A79" t="s">
        <v>699</v>
      </c>
      <c r="B79" t="s">
        <v>522</v>
      </c>
      <c r="C79" t="s">
        <v>882</v>
      </c>
      <c r="D79" t="s">
        <v>506</v>
      </c>
      <c r="E79" t="s">
        <v>609</v>
      </c>
      <c r="F79" t="s">
        <v>891</v>
      </c>
      <c r="G79" t="s">
        <v>892</v>
      </c>
      <c r="H79" s="119" t="s">
        <v>509</v>
      </c>
      <c r="I79" s="31" t="s">
        <v>511</v>
      </c>
      <c r="J79" t="s">
        <v>693</v>
      </c>
      <c r="K79" s="101" t="s">
        <v>696</v>
      </c>
      <c r="L79" t="s">
        <v>877</v>
      </c>
    </row>
    <row r="80" spans="1:12" ht="30.75">
      <c r="A80" t="s">
        <v>362</v>
      </c>
      <c r="B80" t="s">
        <v>482</v>
      </c>
      <c r="C80" t="s">
        <v>804</v>
      </c>
      <c r="D80" t="s">
        <v>580</v>
      </c>
      <c r="E80" t="s">
        <v>585</v>
      </c>
      <c r="F80" t="s">
        <v>586</v>
      </c>
      <c r="G80" s="98" t="s">
        <v>805</v>
      </c>
      <c r="H80" s="98" t="s">
        <v>806</v>
      </c>
      <c r="I80" s="120" t="s">
        <v>807</v>
      </c>
      <c r="J80" t="s">
        <v>693</v>
      </c>
      <c r="K80" s="101" t="s">
        <v>696</v>
      </c>
    </row>
    <row r="81" spans="1:14" ht="45.75">
      <c r="A81" t="s">
        <v>362</v>
      </c>
      <c r="B81" t="s">
        <v>482</v>
      </c>
      <c r="C81" t="s">
        <v>804</v>
      </c>
      <c r="D81" t="s">
        <v>580</v>
      </c>
      <c r="E81" t="s">
        <v>581</v>
      </c>
      <c r="F81" t="s">
        <v>582</v>
      </c>
      <c r="G81" t="s">
        <v>808</v>
      </c>
      <c r="H81" s="98" t="s">
        <v>809</v>
      </c>
      <c r="I81" t="s">
        <v>810</v>
      </c>
      <c r="J81" t="s">
        <v>693</v>
      </c>
      <c r="K81" s="101" t="s">
        <v>696</v>
      </c>
    </row>
    <row r="82" spans="1:14" ht="45.75">
      <c r="A82" t="s">
        <v>362</v>
      </c>
      <c r="B82" t="s">
        <v>482</v>
      </c>
      <c r="C82" s="98" t="s">
        <v>782</v>
      </c>
      <c r="D82" t="s">
        <v>783</v>
      </c>
      <c r="E82" t="s">
        <v>343</v>
      </c>
      <c r="F82" t="s">
        <v>574</v>
      </c>
      <c r="G82" t="s">
        <v>784</v>
      </c>
      <c r="H82" s="98" t="s">
        <v>785</v>
      </c>
      <c r="I82" t="s">
        <v>786</v>
      </c>
      <c r="J82" t="s">
        <v>693</v>
      </c>
      <c r="K82" s="101" t="s">
        <v>696</v>
      </c>
    </row>
    <row r="83" spans="1:14" ht="45.75">
      <c r="A83" t="s">
        <v>362</v>
      </c>
      <c r="B83" t="s">
        <v>482</v>
      </c>
      <c r="C83" s="98" t="s">
        <v>782</v>
      </c>
      <c r="D83" t="s">
        <v>314</v>
      </c>
      <c r="E83" t="s">
        <v>324</v>
      </c>
      <c r="F83" t="s">
        <v>577</v>
      </c>
      <c r="G83" t="s">
        <v>784</v>
      </c>
      <c r="H83" s="98" t="s">
        <v>787</v>
      </c>
      <c r="I83" t="s">
        <v>788</v>
      </c>
      <c r="J83" t="s">
        <v>693</v>
      </c>
      <c r="K83" s="101" t="s">
        <v>696</v>
      </c>
    </row>
    <row r="84" spans="1:14">
      <c r="A84" t="s">
        <v>301</v>
      </c>
      <c r="B84" t="s">
        <v>482</v>
      </c>
      <c r="C84" t="s">
        <v>925</v>
      </c>
      <c r="D84" t="s">
        <v>501</v>
      </c>
      <c r="E84" t="s">
        <v>858</v>
      </c>
      <c r="F84" t="s">
        <v>859</v>
      </c>
      <c r="G84" t="s">
        <v>860</v>
      </c>
      <c r="H84" s="98" t="s">
        <v>861</v>
      </c>
      <c r="I84" t="s">
        <v>934</v>
      </c>
      <c r="J84" t="s">
        <v>693</v>
      </c>
      <c r="K84" s="101" t="s">
        <v>696</v>
      </c>
    </row>
    <row r="85" spans="1:14" ht="30.75">
      <c r="A85" t="s">
        <v>366</v>
      </c>
      <c r="B85" t="s">
        <v>482</v>
      </c>
      <c r="C85" t="s">
        <v>925</v>
      </c>
      <c r="D85" t="s">
        <v>501</v>
      </c>
      <c r="E85" t="s">
        <v>304</v>
      </c>
      <c r="F85" t="s">
        <v>862</v>
      </c>
      <c r="G85" t="s">
        <v>863</v>
      </c>
      <c r="H85" s="98" t="s">
        <v>864</v>
      </c>
      <c r="I85" t="s">
        <v>935</v>
      </c>
      <c r="J85" t="s">
        <v>693</v>
      </c>
      <c r="K85" s="101" t="s">
        <v>696</v>
      </c>
    </row>
    <row r="86" spans="1:14">
      <c r="A86" t="s">
        <v>699</v>
      </c>
      <c r="B86" t="s">
        <v>522</v>
      </c>
      <c r="C86" t="s">
        <v>882</v>
      </c>
      <c r="D86" t="s">
        <v>506</v>
      </c>
      <c r="E86" t="s">
        <v>589</v>
      </c>
      <c r="F86" t="s">
        <v>893</v>
      </c>
      <c r="G86" t="s">
        <v>888</v>
      </c>
      <c r="J86" t="s">
        <v>693</v>
      </c>
      <c r="K86" s="101" t="s">
        <v>696</v>
      </c>
      <c r="L86" t="s">
        <v>877</v>
      </c>
      <c r="M86" t="s">
        <v>927</v>
      </c>
      <c r="N86" t="s">
        <v>928</v>
      </c>
    </row>
    <row r="87" spans="1:14" ht="30.75">
      <c r="A87" t="s">
        <v>362</v>
      </c>
      <c r="B87" t="s">
        <v>482</v>
      </c>
      <c r="C87" s="98" t="s">
        <v>782</v>
      </c>
      <c r="D87" t="s">
        <v>789</v>
      </c>
      <c r="E87" s="98" t="s">
        <v>790</v>
      </c>
      <c r="F87" s="98" t="s">
        <v>791</v>
      </c>
      <c r="G87" t="s">
        <v>792</v>
      </c>
      <c r="H87" s="98" t="s">
        <v>793</v>
      </c>
      <c r="I87" t="s">
        <v>788</v>
      </c>
      <c r="J87" t="s">
        <v>693</v>
      </c>
      <c r="K87" s="101" t="s">
        <v>696</v>
      </c>
    </row>
    <row r="88" spans="1:14" ht="30.75">
      <c r="A88" t="s">
        <v>301</v>
      </c>
      <c r="B88" t="s">
        <v>482</v>
      </c>
      <c r="C88" t="s">
        <v>848</v>
      </c>
      <c r="D88" t="s">
        <v>847</v>
      </c>
      <c r="E88" t="s">
        <v>431</v>
      </c>
      <c r="F88" t="s">
        <v>316</v>
      </c>
      <c r="G88" s="98" t="s">
        <v>936</v>
      </c>
      <c r="H88" t="s">
        <v>850</v>
      </c>
      <c r="I88" t="s">
        <v>851</v>
      </c>
      <c r="J88" t="s">
        <v>693</v>
      </c>
      <c r="K88" s="101" t="s">
        <v>696</v>
      </c>
    </row>
    <row r="89" spans="1:14">
      <c r="A89" t="s">
        <v>699</v>
      </c>
      <c r="B89" t="s">
        <v>337</v>
      </c>
      <c r="C89" t="s">
        <v>874</v>
      </c>
      <c r="D89" t="s">
        <v>614</v>
      </c>
      <c r="E89" t="s">
        <v>635</v>
      </c>
      <c r="F89" t="s">
        <v>875</v>
      </c>
      <c r="G89" t="s">
        <v>876</v>
      </c>
      <c r="J89" t="s">
        <v>693</v>
      </c>
      <c r="K89" s="101" t="s">
        <v>696</v>
      </c>
      <c r="L89" t="s">
        <v>877</v>
      </c>
      <c r="M89" t="s">
        <v>927</v>
      </c>
      <c r="N89" t="s">
        <v>928</v>
      </c>
    </row>
    <row r="90" spans="1:14" ht="30.75">
      <c r="A90" t="s">
        <v>362</v>
      </c>
      <c r="B90" t="s">
        <v>482</v>
      </c>
      <c r="C90" s="98" t="s">
        <v>782</v>
      </c>
      <c r="D90" t="s">
        <v>789</v>
      </c>
      <c r="E90" t="s">
        <v>794</v>
      </c>
      <c r="F90" t="s">
        <v>316</v>
      </c>
      <c r="G90" t="s">
        <v>795</v>
      </c>
      <c r="H90" s="98" t="s">
        <v>793</v>
      </c>
      <c r="I90" t="s">
        <v>788</v>
      </c>
      <c r="J90" t="s">
        <v>693</v>
      </c>
      <c r="K90" s="101" t="s">
        <v>696</v>
      </c>
    </row>
    <row r="91" spans="1:14" ht="30.75">
      <c r="A91" t="s">
        <v>301</v>
      </c>
      <c r="B91" t="s">
        <v>482</v>
      </c>
      <c r="C91" s="98" t="s">
        <v>819</v>
      </c>
      <c r="D91" t="s">
        <v>820</v>
      </c>
      <c r="E91" t="s">
        <v>666</v>
      </c>
      <c r="F91" t="s">
        <v>821</v>
      </c>
      <c r="G91" t="s">
        <v>822</v>
      </c>
      <c r="H91" s="98" t="s">
        <v>823</v>
      </c>
      <c r="I91" t="s">
        <v>824</v>
      </c>
      <c r="J91" t="s">
        <v>693</v>
      </c>
      <c r="K91" s="101" t="s">
        <v>696</v>
      </c>
    </row>
    <row r="92" spans="1:14">
      <c r="A92" t="s">
        <v>699</v>
      </c>
      <c r="B92" t="s">
        <v>522</v>
      </c>
      <c r="C92" t="s">
        <v>874</v>
      </c>
      <c r="D92" t="s">
        <v>614</v>
      </c>
      <c r="E92" t="s">
        <v>878</v>
      </c>
      <c r="F92" t="s">
        <v>879</v>
      </c>
      <c r="G92" t="s">
        <v>876</v>
      </c>
      <c r="I92" t="s">
        <v>767</v>
      </c>
      <c r="J92" t="s">
        <v>693</v>
      </c>
      <c r="K92" s="101" t="s">
        <v>696</v>
      </c>
      <c r="L92" t="s">
        <v>877</v>
      </c>
      <c r="M92" t="s">
        <v>927</v>
      </c>
      <c r="N92" t="s">
        <v>928</v>
      </c>
    </row>
    <row r="93" spans="1:14">
      <c r="A93" t="s">
        <v>362</v>
      </c>
      <c r="B93" t="s">
        <v>482</v>
      </c>
      <c r="C93" t="s">
        <v>758</v>
      </c>
      <c r="D93" t="s">
        <v>768</v>
      </c>
      <c r="E93" t="s">
        <v>670</v>
      </c>
      <c r="F93" t="s">
        <v>671</v>
      </c>
      <c r="G93" t="s">
        <v>769</v>
      </c>
      <c r="H93" t="s">
        <v>761</v>
      </c>
      <c r="I93" t="s">
        <v>762</v>
      </c>
      <c r="J93" t="s">
        <v>693</v>
      </c>
      <c r="K93" s="101" t="s">
        <v>696</v>
      </c>
    </row>
    <row r="94" spans="1:14" ht="30.75">
      <c r="A94" t="s">
        <v>301</v>
      </c>
      <c r="B94" t="s">
        <v>482</v>
      </c>
      <c r="C94" s="98" t="s">
        <v>819</v>
      </c>
      <c r="D94" t="s">
        <v>820</v>
      </c>
      <c r="E94" s="98" t="s">
        <v>826</v>
      </c>
      <c r="F94" t="s">
        <v>827</v>
      </c>
      <c r="G94" t="s">
        <v>828</v>
      </c>
      <c r="H94" t="s">
        <v>823</v>
      </c>
      <c r="I94" t="s">
        <v>829</v>
      </c>
      <c r="J94" s="29" t="s">
        <v>693</v>
      </c>
      <c r="K94" s="101" t="s">
        <v>696</v>
      </c>
    </row>
    <row r="95" spans="1:14">
      <c r="A95" t="s">
        <v>699</v>
      </c>
      <c r="B95" t="s">
        <v>522</v>
      </c>
      <c r="C95" t="s">
        <v>874</v>
      </c>
      <c r="D95" t="s">
        <v>614</v>
      </c>
      <c r="E95" t="s">
        <v>615</v>
      </c>
      <c r="F95" t="s">
        <v>880</v>
      </c>
      <c r="G95" t="s">
        <v>881</v>
      </c>
      <c r="I95" t="s">
        <v>767</v>
      </c>
      <c r="J95" t="s">
        <v>693</v>
      </c>
      <c r="K95" s="101" t="s">
        <v>696</v>
      </c>
    </row>
    <row r="96" spans="1:14">
      <c r="A96" t="s">
        <v>362</v>
      </c>
      <c r="B96" t="s">
        <v>482</v>
      </c>
      <c r="C96" t="s">
        <v>758</v>
      </c>
      <c r="D96" t="s">
        <v>768</v>
      </c>
      <c r="E96" t="s">
        <v>676</v>
      </c>
      <c r="F96" t="s">
        <v>677</v>
      </c>
      <c r="G96" t="s">
        <v>771</v>
      </c>
      <c r="H96" s="98" t="s">
        <v>761</v>
      </c>
      <c r="I96" t="s">
        <v>762</v>
      </c>
      <c r="J96" t="s">
        <v>693</v>
      </c>
      <c r="K96" s="101" t="s">
        <v>696</v>
      </c>
    </row>
    <row r="98" spans="1:11">
      <c r="D98" s="29"/>
      <c r="H98" s="98"/>
    </row>
    <row r="99" spans="1:11">
      <c r="A99" t="s">
        <v>937</v>
      </c>
      <c r="H99" s="98"/>
    </row>
    <row r="100" spans="1:11" ht="30.75">
      <c r="A100" t="s">
        <v>362</v>
      </c>
      <c r="B100" t="s">
        <v>482</v>
      </c>
      <c r="C100" s="98" t="s">
        <v>811</v>
      </c>
      <c r="D100" t="s">
        <v>812</v>
      </c>
      <c r="E100" t="s">
        <v>813</v>
      </c>
      <c r="F100" t="s">
        <v>814</v>
      </c>
      <c r="G100" t="s">
        <v>815</v>
      </c>
      <c r="H100" t="s">
        <v>816</v>
      </c>
      <c r="I100" t="s">
        <v>817</v>
      </c>
      <c r="J100" t="s">
        <v>693</v>
      </c>
      <c r="K100" s="101" t="s">
        <v>696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523D6198A7D48B805D51CBE2354EF" ma:contentTypeVersion="0" ma:contentTypeDescription="Crée un document." ma:contentTypeScope="" ma:versionID="e413cf3c85fcb1e88df0d8d99c9e00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35ec9c0e90322864eb5b367de8fc2e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DCB5C9-9647-4C51-A723-AF6643A01788}"/>
</file>

<file path=customXml/itemProps2.xml><?xml version="1.0" encoding="utf-8"?>
<ds:datastoreItem xmlns:ds="http://schemas.openxmlformats.org/officeDocument/2006/customXml" ds:itemID="{7409BA19-1BE0-4011-A9DA-714BE9DA9C2F}"/>
</file>

<file path=customXml/itemProps3.xml><?xml version="1.0" encoding="utf-8"?>
<ds:datastoreItem xmlns:ds="http://schemas.openxmlformats.org/officeDocument/2006/customXml" ds:itemID="{3BCA6483-F9BF-4DE0-AA0A-7CBC84A18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BRUYERE Maximilien</cp:lastModifiedBy>
  <cp:revision/>
  <dcterms:created xsi:type="dcterms:W3CDTF">2018-11-05T08:39:02Z</dcterms:created>
  <dcterms:modified xsi:type="dcterms:W3CDTF">2025-10-16T11:29:36Z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0x0101006D6523D6198A7D48B805D51CBE2354EF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0" name="Order">
    <vt:r8>800</vt:r8>
  </property>
</Properties>
</file>